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Inputs" state="visible" r:id="rId5"/>
    <sheet sheetId="3" name="One bed" state="visible" r:id="rId6"/>
    <sheet sheetId="4" name="The year" state="visible" r:id="rId7"/>
    <sheet sheetId="5" name="Monthly cash FY27" state="visible" r:id="rId8"/>
    <sheet sheetId="6" name="Three years" state="visible" r:id="rId9"/>
    <sheet sheetId="7" name="Yield improvements" state="visible" r:id="rId10"/>
    <sheet sheetId="8" name="Sources" state="visible" r:id="rId11"/>
  </sheets>
  <calcPr calcId="171027" fullCalcOnLoad="1"/>
</workbook>
</file>

<file path=xl/sharedStrings.xml><?xml version="1.0" encoding="utf-8"?>
<sst xmlns="http://schemas.openxmlformats.org/spreadsheetml/2006/main" count="862" uniqueCount="531">
  <si>
    <t>Goods on Country, financial model for funders</t>
  </si>
  <si>
    <t/>
  </si>
  <si>
    <t>Goods on Country is a registered business name of The Butterfly Movement Ltd, which applies for and receives the grants. This workbook was built from the repository's guarded data modules on 2026-09-15. Every number is a module constant looked up by name, or a formula over cells that are. The Sources sheet lists each one.</t>
  </si>
  <si>
    <t>What it does: one bed (price, cost, contribution, break-even), the year to June 2027 (three jobs, who is asked, the gap), a monthly cash scenario for FY27, a three-year shape for the Tim Fairfax application, and the yield improvements list.</t>
  </si>
  <si>
    <t>What it does not do: no GST, no balance sheet, no tax, no depreciation, no receivables. Bed sales are counted only where a buyer has a dated paid order inside FY27. Grant receipt months are scenario months and no receipt date exists for any of them.</t>
  </si>
  <si>
    <t>The bed is $750 and nothing is added to it. The organisation absorbs freight at $100 a bed and facilitation at $100 a bed out of its share, so a buyer is never charged freight and no funder is asked for a freight line. Ben, 15 September 2026, as a director.</t>
  </si>
  <si>
    <t>Provisional lines: the making cost and every figure derived from it (contribution, break-even, the beds line of the year) until Nic confirms the bought leg-panel yield; the bought leg panel yield itself, which is unknown; and whether the founders line includes superannuation, which is unconfirmed. Opening cash is Butterfly whole-entity FY26 closing cash and is unaudited.</t>
  </si>
  <si>
    <t>Colours: pale turquoise cells are inputs, turquoise bars are sections, dark grey figures are formulas. Change an input on the Inputs sheet and the One bed, The year and Monthly cash sheets recompute. Module values sit beside the formulas on One bed so a reviewer can see they agree.</t>
  </si>
  <si>
    <t>Nothing in the raise is secured. Every line is an invitation, an application or a conversation. An invitation is not an award.</t>
  </si>
  <si>
    <t>Version 2026-09-15. Regenerate from v2 with FUNDER_MODEL_BUILD=1 npx vitest run src/lib/finance/build-funder-model.test.ts. Do not edit the numbers by hand; change the module and rebuild.</t>
  </si>
  <si>
    <t>Inputs. Every driver in the model, with where it comes from. Built 2026-09-15.</t>
  </si>
  <si>
    <t>Driver</t>
  </si>
  <si>
    <t>Id</t>
  </si>
  <si>
    <t>Value</t>
  </si>
  <si>
    <t>Unit</t>
  </si>
  <si>
    <t>Status</t>
  </si>
  <si>
    <t>Notes</t>
  </si>
  <si>
    <t>Source (module and constant)</t>
  </si>
  <si>
    <t>The bed</t>
  </si>
  <si>
    <t>Bed price</t>
  </si>
  <si>
    <t>bed.price</t>
  </si>
  <si>
    <t>AUD</t>
  </si>
  <si>
    <t>settled</t>
  </si>
  <si>
    <t>The published price. Every invoice since INV-0303 has carried it or more.</t>
  </si>
  <si>
    <t>the-year-and-the-raise:BED_PRICE_AUD</t>
  </si>
  <si>
    <t>Plastic</t>
  </si>
  <si>
    <t>bed.plastic</t>
  </si>
  <si>
    <t>AUD a bed</t>
  </si>
  <si>
    <t>provisional</t>
  </si>
  <si>
    <t>Legacy 20 kg at $2.75 a kg. Provisional until Nic confirms the bought leg-panel yield.</t>
  </si>
  <si>
    <t>the-year-and-the-raise:PLASTIC_AUD</t>
  </si>
  <si>
    <t>Poles</t>
  </si>
  <si>
    <t>bed.poles</t>
  </si>
  <si>
    <t>Two galvanised steel poles.</t>
  </si>
  <si>
    <t>the-year-and-the-raise:POLES_AUD</t>
  </si>
  <si>
    <t>Canvas</t>
  </si>
  <si>
    <t>bed.canvas</t>
  </si>
  <si>
    <t>Canvas with sewn sleeves. The canvas is structural.</t>
  </si>
  <si>
    <t>the-year-and-the-raise:CANVAS_AUD</t>
  </si>
  <si>
    <t>Hardware</t>
  </si>
  <si>
    <t>bed.hardware</t>
  </si>
  <si>
    <t>Fixings.</t>
  </si>
  <si>
    <t>the-year-and-the-raise:HARDWARE_AUD</t>
  </si>
  <si>
    <t>Power</t>
  </si>
  <si>
    <t>bed.power</t>
  </si>
  <si>
    <t>Press and router power for one kit.</t>
  </si>
  <si>
    <t>the-year-and-the-raise:POWER_AUD</t>
  </si>
  <si>
    <t>Factory labour a day</t>
  </si>
  <si>
    <t>bed.labourADay</t>
  </si>
  <si>
    <t>AUD a day</t>
  </si>
  <si>
    <t>One paid day on the press and router.</t>
  </si>
  <si>
    <t>the-year-and-the-raise:FACTORY_LABOUR_A_DAY_AUD</t>
  </si>
  <si>
    <t>Tab sheets pressed a day</t>
  </si>
  <si>
    <t>prod.sheetsADay</t>
  </si>
  <si>
    <t>sheets</t>
  </si>
  <si>
    <t>Ben, 12 September 2026.</t>
  </si>
  <si>
    <t>production-route:PRESS_SHEETS_A_DAY</t>
  </si>
  <si>
    <t>Pressed sheets a kit</t>
  </si>
  <si>
    <t>prod.sheetsPerKit</t>
  </si>
  <si>
    <t>One tab sheet makes one kit.</t>
  </si>
  <si>
    <t>production-route:PRESSED_SHEETS_PER_KIT</t>
  </si>
  <si>
    <t>Kits a day</t>
  </si>
  <si>
    <t>bed.kitsADay</t>
  </si>
  <si>
    <t>kits</t>
  </si>
  <si>
    <t>Ben, 15 September 2026: six, the tab press rate.</t>
  </si>
  <si>
    <t>formula of the-year-and-the-raise:KITS_A_DAY</t>
  </si>
  <si>
    <t>Labour a bed</t>
  </si>
  <si>
    <t>bed.labour</t>
  </si>
  <si>
    <t>Factory labour a day over the kits a day.</t>
  </si>
  <si>
    <t>formula of the-year-and-the-raise:LABOUR_AUD</t>
  </si>
  <si>
    <t>Making cost, a bed</t>
  </si>
  <si>
    <t>bed.make</t>
  </si>
  <si>
    <t>provisional: bought leg panels and tab pressing need costing (Nic, panel yield)</t>
  </si>
  <si>
    <t>formula of the-year-and-the-raise:BED_MAKE_AUD</t>
  </si>
  <si>
    <t>Freight a bed, absorbed</t>
  </si>
  <si>
    <t>bed.freight</t>
  </si>
  <si>
    <t>All up. The organisation absorbs it out of its share of the $750; no buyer pays it. Ben, 15 September 2026.</t>
  </si>
  <si>
    <t>the-year-and-the-raise:BED_FREIGHT_AUD</t>
  </si>
  <si>
    <t>Facilitation a bed, absorbed</t>
  </si>
  <si>
    <t>bed.facilitation</t>
  </si>
  <si>
    <t>$40,000 over 400 beds. The organisation absorbs it out of its share of the $750. Ben, 15 September 2026.</t>
  </si>
  <si>
    <t>the-year-and-the-raise:FACILITATION_PER_BED_AUD</t>
  </si>
  <si>
    <t>Contribution a bed</t>
  </si>
  <si>
    <t>bed.contribution</t>
  </si>
  <si>
    <t>What reaches the organisation from a $750 bed after making, freight and facilitation. Ben, 15 September 2026.</t>
  </si>
  <si>
    <t>formula of the-year-and-the-raise:CONTRIBUTION_AUD</t>
  </si>
  <si>
    <t>The year</t>
  </si>
  <si>
    <t>Beds of first stock</t>
  </si>
  <si>
    <t>year.beds</t>
  </si>
  <si>
    <t>beds</t>
  </si>
  <si>
    <t>Four pools of one hundred.</t>
  </si>
  <si>
    <t>the-year-and-the-raise:BEDS_YEAR_ONE</t>
  </si>
  <si>
    <t>Community pools</t>
  </si>
  <si>
    <t>year.pools</t>
  </si>
  <si>
    <t>pools</t>
  </si>
  <si>
    <t>Ruling 7.</t>
  </si>
  <si>
    <t>the-year-and-the-raise:FACILITATION_COMMUNITIES</t>
  </si>
  <si>
    <t>Beds in a pool</t>
  </si>
  <si>
    <t>year.poolSize</t>
  </si>
  <si>
    <t>Derived.</t>
  </si>
  <si>
    <t>formula of the-year-and-the-raise:BEDS_YEAR_ONE, the-year-and-the-raise:FACILITATION_COMMUNITIES</t>
  </si>
  <si>
    <t>Freight on the year, absorbed</t>
  </si>
  <si>
    <t>year.freight</t>
  </si>
  <si>
    <t>Beds of first stock at the freight a bed. Paid by the organisation.</t>
  </si>
  <si>
    <t>formula of the-year-and-the-raise:FREIGHT_ON_THE_YEAR_AUD</t>
  </si>
  <si>
    <t>Months in a year</t>
  </si>
  <si>
    <t>cal.months</t>
  </si>
  <si>
    <t>months</t>
  </si>
  <si>
    <t>Calendar.</t>
  </si>
  <si>
    <t>calendar:MONTHS_IN_A_YEAR</t>
  </si>
  <si>
    <t>Facilitation</t>
  </si>
  <si>
    <t>Communities</t>
  </si>
  <si>
    <t>fac.communities</t>
  </si>
  <si>
    <t>communities</t>
  </si>
  <si>
    <t>Four community pools in year one.</t>
  </si>
  <si>
    <t>Facilitation a community</t>
  </si>
  <si>
    <t>fac.each</t>
  </si>
  <si>
    <t>Billed and paid at this rate on four invoices already.</t>
  </si>
  <si>
    <t>three-year-plan:FACILITATION_PER_COMMUNITY_AUD</t>
  </si>
  <si>
    <t>Facilitation, the year, absorbed</t>
  </si>
  <si>
    <t>fac.total</t>
  </si>
  <si>
    <t>Facilitation a bed across the beds of first stock, which is also four communities at $10,000. Paid by the organisation.</t>
  </si>
  <si>
    <t>formula of the-year-and-the-raise:FACILITATION_AUD</t>
  </si>
  <si>
    <t>Running the organisation</t>
  </si>
  <si>
    <t>Founders</t>
  </si>
  <si>
    <t>run.0</t>
  </si>
  <si>
    <t>AUD a year</t>
  </si>
  <si>
    <t>unconfirmed</t>
  </si>
  <si>
    <t>Two founders beyond the days they spend on production. Whether this includes superannuation is unconfirmed. Superannuation status: unconfirmed.</t>
  </si>
  <si>
    <t>the-year-and-the-raise:RUNNING_LINES[0].amountAud</t>
  </si>
  <si>
    <t>Getting to communities</t>
  </si>
  <si>
    <t>run.1</t>
  </si>
  <si>
    <t>Travel to eleven communities. Being on country costs what a call does not.</t>
  </si>
  <si>
    <t>the-year-and-the-raise:RUNNING_LINES[1].amountAud</t>
  </si>
  <si>
    <t>Accounting and advice</t>
  </si>
  <si>
    <t>run.2</t>
  </si>
  <si>
    <t>What Butterfly actually paid for its FY26 accountancy and audit, from the JAQ Minns FY26 statements.</t>
  </si>
  <si>
    <t>the-year-and-the-raise:RUNNING_LINES[2].amountAud</t>
  </si>
  <si>
    <t>Witta rent</t>
  </si>
  <si>
    <t>run.3</t>
  </si>
  <si>
    <t>The Harvest shed, where the press and the router live.</t>
  </si>
  <si>
    <t>the-year-and-the-raise:RUNNING_LINES[3].amountAud</t>
  </si>
  <si>
    <t>Marketing</t>
  </si>
  <si>
    <t>run.4</t>
  </si>
  <si>
    <t>The site, the deck, the print. Confirmed by Ben on 15 September 2026.</t>
  </si>
  <si>
    <t>the-year-and-the-raise:RUNNING_LINES[4].amountAud</t>
  </si>
  <si>
    <t>Maintenance</t>
  </si>
  <si>
    <t>run.5</t>
  </si>
  <si>
    <t>Press, router and shredder upkeep.</t>
  </si>
  <si>
    <t>the-year-and-the-raise:RUNNING_LINES[5].amountAud</t>
  </si>
  <si>
    <t>Running the organisation, a year</t>
  </si>
  <si>
    <t>run.total</t>
  </si>
  <si>
    <t>Ben's provision of 9 September 2026, cut 15 September 2026.</t>
  </si>
  <si>
    <t>formula of the-year-and-the-raise:RUNNING_AUD</t>
  </si>
  <si>
    <t>The organisation pays, a year</t>
  </si>
  <si>
    <t>org.need</t>
  </si>
  <si>
    <t>Running, plus the facilitation and freight it absorbs.</t>
  </si>
  <si>
    <t>formula of the-year-and-the-raise:ORGANISATION_NEED_AUD</t>
  </si>
  <si>
    <t>What the beds hand the organisation</t>
  </si>
  <si>
    <t>org.fromBeds</t>
  </si>
  <si>
    <t>Beds of first stock at the contribution, which already has freight and facilitation taken out.</t>
  </si>
  <si>
    <t>formula of the-year-and-the-raise:ORGANISATION_FROM_BEDS_AUD</t>
  </si>
  <si>
    <t>Running cost less what the beds hand back</t>
  </si>
  <si>
    <t>org.short</t>
  </si>
  <si>
    <t>Measured against running alone, because freight and facilitation are already out of the contribution. Taking them off twice was the kind of error that produced the $937,550.</t>
  </si>
  <si>
    <t>formula of the-year-and-the-raise:ORGANISATION_SHORT_AUD</t>
  </si>
  <si>
    <t>Facilities</t>
  </si>
  <si>
    <t>Plants in the ask</t>
  </si>
  <si>
    <t>plant.count</t>
  </si>
  <si>
    <t>plants</t>
  </si>
  <si>
    <t>Two community plants in the QBE application.</t>
  </si>
  <si>
    <t>the-year-and-the-raise:PLANTS_IN_THE_ASK</t>
  </si>
  <si>
    <t>Allowance a plant</t>
  </si>
  <si>
    <t>plant.allowance</t>
  </si>
  <si>
    <t>Against modules priced from low to high below.</t>
  </si>
  <si>
    <t>the-year-and-the-raise:PLANT_ALLOWANCE_AUD</t>
  </si>
  <si>
    <t>Plant modules, low</t>
  </si>
  <si>
    <t>plant.low</t>
  </si>
  <si>
    <t>Matt Allen modules.</t>
  </si>
  <si>
    <t>the-year-and-the-raise:PLANT_MODULES_LOW_AUD</t>
  </si>
  <si>
    <t>Plant modules, high</t>
  </si>
  <si>
    <t>plant.high</t>
  </si>
  <si>
    <t>the-year-and-the-raise:PLANT_MODULES_HIGH_AUD</t>
  </si>
  <si>
    <t>Plants, the year</t>
  </si>
  <si>
    <t>plant.total</t>
  </si>
  <si>
    <t>Two plants at the allowance.</t>
  </si>
  <si>
    <t>formula of the-year-and-the-raise:PLANTS_AUD</t>
  </si>
  <si>
    <t>Production</t>
  </si>
  <si>
    <t>Planning days a month</t>
  </si>
  <si>
    <t>prod.planningDays</t>
  </si>
  <si>
    <t>days</t>
  </si>
  <si>
    <t>Twenty working days.</t>
  </si>
  <si>
    <t>production-route:PLANNING_DAYS_A_MONTH</t>
  </si>
  <si>
    <t>Availability</t>
  </si>
  <si>
    <t>prod.availability</t>
  </si>
  <si>
    <t>share</t>
  </si>
  <si>
    <t>Ben set 80% on 10 September 2026.</t>
  </si>
  <si>
    <t>production-route:AVAILABILITY</t>
  </si>
  <si>
    <t>Run days a month</t>
  </si>
  <si>
    <t>prod.runDays</t>
  </si>
  <si>
    <t>Planning days at availability.</t>
  </si>
  <si>
    <t>formula of production-route:RUN_DAYS_A_MONTH</t>
  </si>
  <si>
    <t>Kits a month</t>
  </si>
  <si>
    <t>prod.kitsAMonth</t>
  </si>
  <si>
    <t>Modelled capacity. No order or measured output stands behind it. Bought leg panels: Needs panel yield.</t>
  </si>
  <si>
    <t>formula of production-route:factoryKitsAMonth()</t>
  </si>
  <si>
    <t>Kits a year</t>
  </si>
  <si>
    <t>prod.kitsAYear</t>
  </si>
  <si>
    <t>Twelve months at the monthly capacity.</t>
  </si>
  <si>
    <t>formula of three-year-plan:WITTA_BEDS_A_YEAR</t>
  </si>
  <si>
    <t>Loan</t>
  </si>
  <si>
    <t>SEFA Backing the Bold, from</t>
  </si>
  <si>
    <t>loan.min</t>
  </si>
  <si>
    <t>Joel Bird, 21 August 2026. Not applied for.</t>
  </si>
  <si>
    <t>capital-stack-flex:SEFA_LOAN_MIN_AUD</t>
  </si>
  <si>
    <t>SEFA Backing the Bold, up to</t>
  </si>
  <si>
    <t>loan.max</t>
  </si>
  <si>
    <t>Debt needs a repayment source and an entity, and both are open.</t>
  </si>
  <si>
    <t>capital-stack-flex:SEFA_LOAN_MAX_AUD</t>
  </si>
  <si>
    <t>Rate and term</t>
  </si>
  <si>
    <t>loan.terms</t>
  </si>
  <si>
    <t>not set</t>
  </si>
  <si>
    <t>status</t>
  </si>
  <si>
    <t>No rate or term is defined in any module. Nothing is drawn in this model.</t>
  </si>
  <si>
    <t>text</t>
  </si>
  <si>
    <t>Bed sales paid inside FY27</t>
  </si>
  <si>
    <t>INV-0303, Homeland School Company</t>
  </si>
  <si>
    <t>sale.INV-0303</t>
  </si>
  <si>
    <t>40 beds for Maningrida homelands, bed line net of GST, fully paid 2026-07-23. Facilitation on the same invoice is cost neutral and left out.</t>
  </si>
  <si>
    <t>demand-and-buyers:PAID_TRADE[INV-0303].bedLineNetAud</t>
  </si>
  <si>
    <t>INV-0342, ALIVE National Centre, University of Melbourne</t>
  </si>
  <si>
    <t>sale.INV-0342</t>
  </si>
  <si>
    <t>100 beds for Communities under the Gathering the Parts program, bed line net of GST, fully paid 2026-08-20. Facilitation on the same invoice is cost neutral and left out.</t>
  </si>
  <si>
    <t>demand-and-buyers:PAID_TRADE[INV-0342].bedLineNetAud</t>
  </si>
  <si>
    <t>Opening position</t>
  </si>
  <si>
    <t>Opening cash, 1 July 2026</t>
  </si>
  <si>
    <t>cash.opening</t>
  </si>
  <si>
    <t>Butterfly whole entity, unaudited. JAQ Minns FY26 statements, as read in deliverables/finance/goods-financial-plan/WORKED-OUT-2026-09-09.md</t>
  </si>
  <si>
    <t>external:BUTTERFLY_FY26_CLOSING_CASH_AUD</t>
  </si>
  <si>
    <t>One bed. Price, cost, contribution and the number of beds a year that carries the organisation.</t>
  </si>
  <si>
    <t>Line</t>
  </si>
  <si>
    <t>Module value</t>
  </si>
  <si>
    <t>Sheet formula</t>
  </si>
  <si>
    <t>Price</t>
  </si>
  <si>
    <t>Published, and paid on every invoice since INV-0303.</t>
  </si>
  <si>
    <t>Cost to make</t>
  </si>
  <si>
    <t>Provisional.</t>
  </si>
  <si>
    <t>Labour</t>
  </si>
  <si>
    <t>Factory labour a day over kits a day.</t>
  </si>
  <si>
    <t>Making cost</t>
  </si>
  <si>
    <t>What the organisation absorbs out of its share</t>
  </si>
  <si>
    <t>Freight, absorbed</t>
  </si>
  <si>
    <t>All up. No buyer pays it and no funder is asked for it. Ben, 15 September 2026.</t>
  </si>
  <si>
    <t>Facilitation, absorbed</t>
  </si>
  <si>
    <t>$40,000 over 400 beds. Ben, 15 September 2026.</t>
  </si>
  <si>
    <t>What a bed hands to the organisation</t>
  </si>
  <si>
    <t>Contribution</t>
  </si>
  <si>
    <t>Price less making, freight and facilitation.</t>
  </si>
  <si>
    <t>Break-even</t>
  </si>
  <si>
    <t>From Inputs.</t>
  </si>
  <si>
    <t>Beds a year that carry it</t>
  </si>
  <si>
    <t>Running cost over contribution, rounded up. Recomputes from the Inputs cells.</t>
  </si>
  <si>
    <t>The year to June 2027. Three jobs, who is asked to pay for each, and what is still to find.</t>
  </si>
  <si>
    <t>The three jobs</t>
  </si>
  <si>
    <t>Job</t>
  </si>
  <si>
    <t>Need</t>
  </si>
  <si>
    <t>Asked</t>
  </si>
  <si>
    <t>Short</t>
  </si>
  <si>
    <t>Funded by</t>
  </si>
  <si>
    <t>Facilities: two community plants</t>
  </si>
  <si>
    <t>QBE Foundation, Stage 2.</t>
  </si>
  <si>
    <t>Beds: making 400 of first stock</t>
  </si>
  <si>
    <t>Tim Fairfax (invited, year one of three), Brian M. Davis (invited), Snow (not sent), each 133 beds at $750. Bed money is asked at the price, so this line over-covers the making cost and the surplus carries the organisation.</t>
  </si>
  <si>
    <t>Organisation: running it, and the freight and facilitation it absorbs</t>
  </si>
  <si>
    <t>No grant is asked for this line. The $150,000 SEFA loan inside the ask carries the first-year gap (Ben, 15 September 2026); the rest is carried by 400 beds at the contribution.</t>
  </si>
  <si>
    <t>The year needs</t>
  </si>
  <si>
    <t>Plants, beds at cost, and the organisation with the freight and facilitation it absorbs. Never beds at price plus running: that counts the bed money twice.</t>
  </si>
  <si>
    <t>Who is asked</t>
  </si>
  <si>
    <t>Funder</t>
  </si>
  <si>
    <t>Amount</t>
  </si>
  <si>
    <t>Stage</t>
  </si>
  <si>
    <t>Beds at price</t>
  </si>
  <si>
    <t>In the ask</t>
  </si>
  <si>
    <t>Source</t>
  </si>
  <si>
    <t>QBE Foundation, Stage 2</t>
  </si>
  <si>
    <t>plant</t>
  </si>
  <si>
    <t>applying</t>
  </si>
  <si>
    <t>not beds</t>
  </si>
  <si>
    <t>yes</t>
  </si>
  <si>
    <t>QBE!D14 and Funding F01. Two plants at the $150,000 allowance. Closes 25 September, noon.</t>
  </si>
  <si>
    <t>Tim Fairfax Family Foundation</t>
  </si>
  <si>
    <t>invited</t>
  </si>
  <si>
    <t>Katie Norman, 31 August 2026: a three-year grant of $300,000 in three equal payments under General Operating Support. Ben, 15 September 2026: year one buys 133 beds at $750; the organisation's share is the contribution those beds hand back. The form's operating framing is a flag, not a job.</t>
  </si>
  <si>
    <t>Brian M. Davis Charitable Foundation</t>
  </si>
  <si>
    <t>Miranda Campbell, 1 September 2026: up to $100,000 for twelve months. Ben, 15 September 2026: 133 beds at $750, facilitation inside, one budget line. The old 80 beds plus $40,000 facilitation split is withdrawn.</t>
  </si>
  <si>
    <t>Snow Foundation</t>
  </si>
  <si>
    <t>not-sent</t>
  </si>
  <si>
    <t>Ben wrote $100,000 on 10 September and ruled it counts as beds, 133 at $750. The ask has not been sent.</t>
  </si>
  <si>
    <t>SEFA, Backing the Bold</t>
  </si>
  <si>
    <t>operating</t>
  </si>
  <si>
    <t>not counted</t>
  </si>
  <si>
    <t>Ben, 15 September 2026: the first-year running gap is carried by a SEFA loan of $150,000, inside the ask, repaid from the $288 each bed hands back. Jay's steer for QBE 2026 is philanthropy that unlocks capital, and this is the capital. EOI drafted; Joel Bird reviews the financials before it goes.</t>
  </si>
  <si>
    <t>Dusseldorp Forum</t>
  </si>
  <si>
    <t>no</t>
  </si>
  <si>
    <t>Top-up. $50,000 is our number, nothing from the funder yet.</t>
  </si>
  <si>
    <t>Totals</t>
  </si>
  <si>
    <t>As it stands</t>
  </si>
  <si>
    <t>No Snow, no Dusseldorp</t>
  </si>
  <si>
    <t>Four grants and one loan. Dusseldorp is outside the ask.</t>
  </si>
  <si>
    <t>Secured</t>
  </si>
  <si>
    <t>Nothing is secured. An invitation is not an award.</t>
  </si>
  <si>
    <t>Gap to the year</t>
  </si>
  <si>
    <t>Need less asked. The gap is beds of first stock and a year of running the organisation. Plant money never leaves a hole.</t>
  </si>
  <si>
    <t>Beds covered by asks at the price</t>
  </si>
  <si>
    <t>Bed asks divided by the price. The first column counts Snow, the second only asks that have been sent.</t>
  </si>
  <si>
    <t>Beds to find (sent asks only)</t>
  </si>
  <si>
    <t>The figure every funder-facing surface prints. An unsent ask covers no bed. Ben, 12 September 2026.</t>
  </si>
  <si>
    <t>Beds unfunded (every bed ask counted)</t>
  </si>
  <si>
    <t>The position after Snow lands. Same as beds to find in the second column, because Snow is the only unsent bed ask.</t>
  </si>
  <si>
    <t>Organisation line, short</t>
  </si>
  <si>
    <t>The organisation need less the operating and facilitation asks.</t>
  </si>
  <si>
    <t>Bed money over the making line</t>
  </si>
  <si>
    <t>The contribution doing its job. Organisation short less this surplus is the gap, seen from the other end.</t>
  </si>
  <si>
    <t>The organisation and the beds</t>
  </si>
  <si>
    <t>The organisation pays</t>
  </si>
  <si>
    <t>Running, plus the freight and facilitation it absorbs at $100 a bed each.</t>
  </si>
  <si>
    <t>What 400 beds hand it</t>
  </si>
  <si>
    <t>Beds at the contribution, after making, freight and facilitation.</t>
  </si>
  <si>
    <t>Against running alone, because the contribution already carries the freight and facilitation. No grant goes against this line; the SEFA loan inside the ask carries it.</t>
  </si>
  <si>
    <t>Monthly cash, July 2026 to June 2027. A scenario laid out from the Inputs sheet. Nobody has forecast these months. Built 2026-09-15.</t>
  </si>
  <si>
    <t>July 2026</t>
  </si>
  <si>
    <t>Aug 2026</t>
  </si>
  <si>
    <t>Sept 2026</t>
  </si>
  <si>
    <t>Oct 2026</t>
  </si>
  <si>
    <t>Nov 2026</t>
  </si>
  <si>
    <t>Dec 2026</t>
  </si>
  <si>
    <t>Jan 2027</t>
  </si>
  <si>
    <t>Feb 2027</t>
  </si>
  <si>
    <t>Mar 2027</t>
  </si>
  <si>
    <t>Apr 2027</t>
  </si>
  <si>
    <t>May 2027</t>
  </si>
  <si>
    <t>June 2027</t>
  </si>
  <si>
    <t>FY27</t>
  </si>
  <si>
    <t>Receipts</t>
  </si>
  <si>
    <t>Grants for facilities (QBE)</t>
  </si>
  <si>
    <t>Scenario month only. No receipt date exists. Applying; closes 25 September.</t>
  </si>
  <si>
    <t>Grants for beds (Brian M. Davis, 133 beds)</t>
  </si>
  <si>
    <t>Scenario month only. No receipt date exists. Invited; board 19 November. One line, facilitation inside the bed.</t>
  </si>
  <si>
    <t>Grants for beds (Snow, Dusseldorp)</t>
  </si>
  <si>
    <t>Untimed and zero. Neither ask has been sent, so no month is honest.</t>
  </si>
  <si>
    <t>Grants for beds (Tim Fairfax, year one, 133 beds)</t>
  </si>
  <si>
    <t>Scenario month only. No receipt date exists. Invited; SmartyGrants closes 9 October, board late November. Ben, 15 September 2026: buys beds, not the running cost.</t>
  </si>
  <si>
    <t>Loan drawn (SEFA, inside the ask)</t>
  </si>
  <si>
    <t>Scenario month only. Ben, 15 September 2026: $150,000 inside the ask, repaid from the contribution. EOI drafted, unsent; Joel Bird reviews first.</t>
  </si>
  <si>
    <t>Bed sales to buyers</t>
  </si>
  <si>
    <t>Only orders with a dated payment inside FY27: INV-0303 Homeland School Company, 40 beds, paid 2026-07-23; INV-0342 ALIVE National Centre, University of Melbourne, 100 beds, paid 2026-08-20. Bed line net of GST; facilitation billed on the same invoice is cost neutral and left out. No other buyer has a dated order.</t>
  </si>
  <si>
    <t>Total receipts</t>
  </si>
  <si>
    <t>Sent asks plus dated bed sales.</t>
  </si>
  <si>
    <t>Payments</t>
  </si>
  <si>
    <t>Plant capex (two plants)</t>
  </si>
  <si>
    <t>Spent in the QBE scenario month. A plant costs what its grant brings, so this line never moves the gap.</t>
  </si>
  <si>
    <t>Making beds (400 at the making cost)</t>
  </si>
  <si>
    <t>Kits a month capacity from January 2027, the month after the scenario receipts, until 400 are made (5 months). Making cost is provisional.</t>
  </si>
  <si>
    <t>Facilitation, absorbed by the organisation</t>
  </si>
  <si>
    <t>Spread evenly. $100 a bed, paid by the organisation out of its share of the $750. Ben, 15 September 2026.</t>
  </si>
  <si>
    <t>One twelfth each month. Founders line includes superannuation: unconfirmed.</t>
  </si>
  <si>
    <t>Freight, absorbed by the organisation (400 beds)</t>
  </si>
  <si>
    <t>Follows the making months. $100 a bed, paid by the organisation out of its share of the $750. Nothing comes back through sales. Ben, 15 September 2026.</t>
  </si>
  <si>
    <t>Total payments</t>
  </si>
  <si>
    <t>Equals the year's need: plants, beds at cost, facilitation, running and freight.</t>
  </si>
  <si>
    <t>Net cash</t>
  </si>
  <si>
    <t>Receipts less payments.</t>
  </si>
  <si>
    <t>Opening cash</t>
  </si>
  <si>
    <t>Butterfly whole entity, unaudited. Butterfly FY26 closing cash from the Inputs sheet.</t>
  </si>
  <si>
    <t>Closing cash</t>
  </si>
  <si>
    <t>Opening plus net. Negative months mean the making runs ahead of the money and need either earlier receipts, a loan, or later making.</t>
  </si>
  <si>
    <t>Runway at June 2027, months of running cost</t>
  </si>
  <si>
    <t>Closing cash over one month of running the organisation. Beds already made and unsold are not counted as cash.</t>
  </si>
  <si>
    <t>Three years, for the Tim Fairfax application. Bed volumes are targets inside modelled capacity. No buyer has ordered them.</t>
  </si>
  <si>
    <t>Year one, to June 2027</t>
  </si>
  <si>
    <t>Year two, to June 2028</t>
  </si>
  <si>
    <t>Year three, to June 2029</t>
  </si>
  <si>
    <t>Plants making beds</t>
  </si>
  <si>
    <t>Witta not counted.</t>
  </si>
  <si>
    <t>Capacity, beds</t>
  </si>
  <si>
    <t>Witta plus plants at first-year and mature rates.</t>
  </si>
  <si>
    <t>Beds sold (target)</t>
  </si>
  <si>
    <t>Targets, capacity-checked. Year two is the break-even number.</t>
  </si>
  <si>
    <t>Contribution from trade</t>
  </si>
  <si>
    <t>Beds sold at the contribution, after making, freight and facilitation.</t>
  </si>
  <si>
    <t>Held flat across three years. An assumption nobody has ruled on.</t>
  </si>
  <si>
    <t>Trade share of running cost</t>
  </si>
  <si>
    <t>Contribution over running cost, in percent.</t>
  </si>
  <si>
    <t>Grant sought</t>
  </si>
  <si>
    <t>Tim Fairfax, three equal payments.</t>
  </si>
  <si>
    <t>Shortfall before grant (positive is short)</t>
  </si>
  <si>
    <t>Running less contribution.</t>
  </si>
  <si>
    <t>After grant (positive is surplus)</t>
  </si>
  <si>
    <t>Contribution plus grant less running.</t>
  </si>
  <si>
    <t>Break-even beds a year</t>
  </si>
  <si>
    <t>Running cost over contribution, rounded up.</t>
  </si>
  <si>
    <t>Grant sought over three years</t>
  </si>
  <si>
    <t>The invitation is $300,000 in three equal payments.</t>
  </si>
  <si>
    <t>Yield improvements. Ben, 15 September 2026: no second press. Nothing here is quoted, so nothing here enters a total.</t>
  </si>
  <si>
    <t>Item</t>
  </si>
  <si>
    <t>Owner</t>
  </si>
  <si>
    <t>What it does</t>
  </si>
  <si>
    <t>A second press die</t>
  </si>
  <si>
    <t>needs-quote</t>
  </si>
  <si>
    <t>Nic</t>
  </si>
  <si>
    <t>Two tab sheets press per cycle on the press already in the shed.</t>
  </si>
  <si>
    <t>CNC tooling and a cutting jig for bought leg panels</t>
  </si>
  <si>
    <t>More leg sets cut from each bought panel, and faster.</t>
  </si>
  <si>
    <t>Shred handling: a bulka bag lifter and bins</t>
  </si>
  <si>
    <t>Moves shred from bag to press without hand-shovelling or spillage.</t>
  </si>
  <si>
    <t>Dust and fume extraction</t>
  </si>
  <si>
    <t>Keeps the router and press running through a full day safely.</t>
  </si>
  <si>
    <t>A cold press for canvas sleeves</t>
  </si>
  <si>
    <t>Takes sleeve making off the bench and shortens the canvas step.</t>
  </si>
  <si>
    <t>Genset or power upgrade</t>
  </si>
  <si>
    <t>Lets the press and the router run at the same time.</t>
  </si>
  <si>
    <t>Quoted items, total</t>
  </si>
  <si>
    <t>An unquoted item never enters a total.</t>
  </si>
  <si>
    <t>Every constant the workbook uses, by module. Model version 2026-09-15.</t>
  </si>
  <si>
    <t>Constant</t>
  </si>
  <si>
    <t>Module</t>
  </si>
  <si>
    <t>Version</t>
  </si>
  <si>
    <t>MONTHS_IN_A_YEAR</t>
  </si>
  <si>
    <t>calendar</t>
  </si>
  <si>
    <t>2026-09-15</t>
  </si>
  <si>
    <t>ZERO</t>
  </si>
  <si>
    <t>GAP_AUD</t>
  </si>
  <si>
    <t>v2/src/lib/data/capital-stack-flex.ts</t>
  </si>
  <si>
    <t>OPERATING_SHORTFALL_AUD</t>
  </si>
  <si>
    <t>SEFA_LOAN_MAX_AUD</t>
  </si>
  <si>
    <t>SEFA_LOAN_MIN_AUD</t>
  </si>
  <si>
    <t>bedSurplusAud()</t>
  </si>
  <si>
    <t>PAID_TRADE[INV-0303].bedLineNetAud</t>
  </si>
  <si>
    <t>v2/src/lib/data/demand-and-buyers.ts</t>
  </si>
  <si>
    <t>PAID_TRADE[INV-0342].bedLineNetAud</t>
  </si>
  <si>
    <t>PAID_TRADE[fullyPaidOn in FY27].bedLineNetAud</t>
  </si>
  <si>
    <t>BUTTERFLY_FY26_CLOSING_CASH_AUD</t>
  </si>
  <si>
    <t>external (Butterfly whole entity, unaudited)</t>
  </si>
  <si>
    <t>AVAILABILITY</t>
  </si>
  <si>
    <t>v2/src/lib/data/production-route.ts</t>
  </si>
  <si>
    <t>PLANNING_DAYS_A_MONTH</t>
  </si>
  <si>
    <t>PRESSED_SHEETS_PER_KIT</t>
  </si>
  <si>
    <t>PRESS_SHEETS_A_DAY</t>
  </si>
  <si>
    <t>RUN_DAYS_A_MONTH</t>
  </si>
  <si>
    <t>factoryKitsAMonth()</t>
  </si>
  <si>
    <t>STACK[dusseldorp].amountAud</t>
  </si>
  <si>
    <t>v2/src/lib/data/raise-stack.ts</t>
  </si>
  <si>
    <t>ASKED_AUD</t>
  </si>
  <si>
    <t>v2/src/lib/data/the-year-and-the-raise.ts</t>
  </si>
  <si>
    <t>ASKS[0].amountAud</t>
  </si>
  <si>
    <t>ASKS[1].amountAud</t>
  </si>
  <si>
    <t>ASKS[2].amountAud</t>
  </si>
  <si>
    <t>ASKS[3].amountAud</t>
  </si>
  <si>
    <t>ASKS[4].amountAud</t>
  </si>
  <si>
    <t>BEDS_AT_COST_AUD</t>
  </si>
  <si>
    <t>BEDS_COVERED_BY_SENT_ASKS</t>
  </si>
  <si>
    <t>BEDS_FUNDED</t>
  </si>
  <si>
    <t>BEDS_TO_FIND</t>
  </si>
  <si>
    <t>BEDS_UNFUNDED</t>
  </si>
  <si>
    <t>BEDS_YEAR_ONE</t>
  </si>
  <si>
    <t>BED_FREIGHT_AUD</t>
  </si>
  <si>
    <t>BED_MAKE_AUD</t>
  </si>
  <si>
    <t>BED_PRICE_AUD</t>
  </si>
  <si>
    <t>CANVAS_AUD</t>
  </si>
  <si>
    <t>CONTRIBUTION_AUD</t>
  </si>
  <si>
    <t>FACILITATION_AUD</t>
  </si>
  <si>
    <t>FACILITATION_COMMUNITIES</t>
  </si>
  <si>
    <t>FACILITATION_PER_BED_AUD</t>
  </si>
  <si>
    <t>FACTORY_LABOUR_A_DAY_AUD</t>
  </si>
  <si>
    <t>FREIGHT_ON_THE_YEAR_AUD</t>
  </si>
  <si>
    <t>HARDWARE_AUD</t>
  </si>
  <si>
    <t>KITS_A_DAY</t>
  </si>
  <si>
    <t>LABOUR_AUD</t>
  </si>
  <si>
    <t>NEED_AUD</t>
  </si>
  <si>
    <t>ORGANISATION_FROM_BEDS_AUD</t>
  </si>
  <si>
    <t>ORGANISATION_NEED_AUD</t>
  </si>
  <si>
    <t>ORGANISATION_SHORT_AUD</t>
  </si>
  <si>
    <t>PLANTS_AUD</t>
  </si>
  <si>
    <t>PLANTS_IN_THE_ASK</t>
  </si>
  <si>
    <t>PLANT_ALLOWANCE_AUD</t>
  </si>
  <si>
    <t>PLANT_MODULES_HIGH_AUD</t>
  </si>
  <si>
    <t>PLANT_MODULES_LOW_AUD</t>
  </si>
  <si>
    <t>PLASTIC_AUD</t>
  </si>
  <si>
    <t>POLES_AUD</t>
  </si>
  <si>
    <t>POWER_AUD</t>
  </si>
  <si>
    <t>RUNNING_AUD</t>
  </si>
  <si>
    <t>RUNNING_LINES[0].amountAud</t>
  </si>
  <si>
    <t>RUNNING_LINES[1].amountAud</t>
  </si>
  <si>
    <t>RUNNING_LINES[2].amountAud</t>
  </si>
  <si>
    <t>RUNNING_LINES[3].amountAud</t>
  </si>
  <si>
    <t>RUNNING_LINES[4].amountAud</t>
  </si>
  <si>
    <t>RUNNING_LINES[5].amountAud</t>
  </si>
  <si>
    <t>SECURED_AUD</t>
  </si>
  <si>
    <t>YIELD_IMPROVEMENTS_TOTAL_AUD</t>
  </si>
  <si>
    <t>BREAK_EVEN_BEDS</t>
  </si>
  <si>
    <t>v2/src/lib/data/three-year-plan.ts</t>
  </si>
  <si>
    <t>FACILITATION_PER_COMMUNITY_AUD</t>
  </si>
  <si>
    <t>GRANT_TOTAL_AUD</t>
  </si>
  <si>
    <t>TRADE_SHARE[fy27].percent</t>
  </si>
  <si>
    <t>TRADE_SHARE[fy28].percent</t>
  </si>
  <si>
    <t>TRADE_SHARE[fy29].percent</t>
  </si>
  <si>
    <t>WITTA_BEDS_A_YEAR</t>
  </si>
  <si>
    <t>YEARS[fy27].bedsSold</t>
  </si>
  <si>
    <t>YEARS[fy27].capacityBeds</t>
  </si>
  <si>
    <t>YEARS[fy27].grantSoughtAud</t>
  </si>
  <si>
    <t>YEARS[fy27].plants</t>
  </si>
  <si>
    <t>YEARS[fy27].runningAud</t>
  </si>
  <si>
    <t>YEARS[fy28].bedsSold</t>
  </si>
  <si>
    <t>YEARS[fy28].capacityBeds</t>
  </si>
  <si>
    <t>YEARS[fy28].grantSoughtAud</t>
  </si>
  <si>
    <t>YEARS[fy28].plants</t>
  </si>
  <si>
    <t>YEARS[fy28].runningAud</t>
  </si>
  <si>
    <t>YEARS[fy29].bedsSold</t>
  </si>
  <si>
    <t>YEARS[fy29].capacityBeds</t>
  </si>
  <si>
    <t>YEARS[fy29].grantSoughtAud</t>
  </si>
  <si>
    <t>YEARS[fy29].plants</t>
  </si>
  <si>
    <t>YEARS[fy29].runningAud</t>
  </si>
  <si>
    <t>afterGrantAud(fy27)</t>
  </si>
  <si>
    <t>afterGrantAud(fy28)</t>
  </si>
  <si>
    <t>afterGrantAud(fy29)</t>
  </si>
  <si>
    <t>contributionAud(fy27)</t>
  </si>
  <si>
    <t>contributionAud(fy28)</t>
  </si>
  <si>
    <t>contributionAud(fy29)</t>
  </si>
  <si>
    <t>shortfallAud(fy27)</t>
  </si>
  <si>
    <t>shortfallAud(fy28)</t>
  </si>
  <si>
    <t>shortfallAud(fy29)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</si>
</sst>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Red]-&quot;$&quot;#,##0"/>
  </numFmts>
  <fonts count="5" x14ac:knownFonts="1">
    <font>
      <color theme="1"/>
      <family val="2"/>
      <scheme val="minor"/>
      <sz val="11"/>
      <name val="Calibri"/>
    </font>
    <font>
      <b/>
      <color rgb="FF333E48"/>
      <sz val="14"/>
    </font>
    <font>
      <b/>
      <color rgb="FF333E48"/>
    </font>
    <font>
      <b/>
      <color rgb="FFFFFFFF"/>
    </font>
    <font>
      <color rgb="FF333E48"/>
    </font>
  </fonts>
  <fills count="4">
    <fill>
      <patternFill patternType="none"/>
    </fill>
    <fill>
      <patternFill patternType="gray125"/>
    </fill>
    <fill>
      <patternFill patternType="solid">
        <fgColor rgb="FF00ACBA"/>
      </patternFill>
    </fill>
    <fill>
      <patternFill patternType="solid">
        <fgColor rgb="FFD9F2F4"/>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2" borderId="0" xfId="0" applyFont="1" applyFill="1" applyAlignment="1">
      <alignment vertical="top" wrapText="1"/>
    </xf>
    <xf numFmtId="164" fontId="0" fillId="3" borderId="0" xfId="0" applyNumberFormat="1" applyFill="1" applyAlignment="1">
      <alignment vertical="top"/>
    </xf>
    <xf numFmtId="3" fontId="0" fillId="3" borderId="0" xfId="0" applyNumberFormat="1" applyFill="1" applyAlignment="1">
      <alignment vertical="top"/>
    </xf>
    <xf numFmtId="4" fontId="4" fillId="0" borderId="0" xfId="0" applyNumberFormat="1" applyFont="1" applyAlignment="1">
      <alignment vertical="top"/>
    </xf>
    <xf numFmtId="164" fontId="4" fillId="0" borderId="0" xfId="0" applyNumberFormat="1" applyFont="1" applyAlignment="1">
      <alignment vertical="top"/>
    </xf>
    <xf numFmtId="3" fontId="4" fillId="0" borderId="0" xfId="0" applyNumberFormat="1" applyFont="1" applyAlignment="1">
      <alignment vertical="top"/>
    </xf>
    <xf numFmtId="9" fontId="0" fillId="3" borderId="0" xfId="0" applyNumberFormat="1" applyFill="1" applyAlignment="1">
      <alignment vertical="top"/>
    </xf>
    <xf numFmtId="3" fontId="2" fillId="0" borderId="0" xfId="0" applyNumberFormat="1" applyFont="1" applyAlignment="1">
      <alignment vertical="top"/>
    </xf>
    <xf numFmtId="164" fontId="2" fillId="0" borderId="0" xfId="0" applyNumberFormat="1" applyFont="1" applyAlignment="1">
      <alignment vertical="top"/>
    </xf>
    <xf numFmtId="164" fontId="0" fillId="0" borderId="0" xfId="0" applyNumberFormat="1" applyAlignment="1">
      <alignment vertical="top"/>
    </xf>
    <xf numFmtId="4" fontId="2" fillId="0" borderId="0" xfId="0" applyNumberFormat="1" applyFont="1" applyAlignment="1">
      <alignment vertical="top"/>
    </xf>
    <xf numFmtId="3" fontId="0" fillId="0" borderId="0" xfId="0" applyNumberFormat="1" applyAlignment="1">
      <alignment vertical="top"/>
    </xf>
    <xf numFmtId="4" fontId="0" fillId="0" borderId="0" xfId="0" applyNumberForma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
  <sheetViews>
    <sheetView workbookViewId="0">
      <pane ySplit="2" topLeftCell="A3" activePane="bottomLeft" state="frozen"/>
      <selection pane="bottomLeft"/>
    </sheetView>
  </sheetViews>
  <sheetFormatPr defaultRowHeight="15" outlineLevelRow="0" outlineLevelCol="0" x14ac:dyDescent="55"/>
  <cols>
    <col min="1" max="1" width="110" customWidth="1"/>
  </cols>
  <sheetData>
    <row r="1" spans="1:1" x14ac:dyDescent="0.25">
      <c r="A1" s="1" t="s">
        <v>0</v>
      </c>
    </row>
    <row r="2" spans="1:1" x14ac:dyDescent="0.25">
      <c r="A2" s="2" t="s">
        <v>1</v>
      </c>
    </row>
    <row r="3" spans="1:1" x14ac:dyDescent="0.25">
      <c r="A3" s="2" t="s">
        <v>2</v>
      </c>
    </row>
    <row r="4" spans="1:1" x14ac:dyDescent="0.25">
      <c r="A4" s="2" t="s">
        <v>1</v>
      </c>
    </row>
    <row r="5" spans="1:1" x14ac:dyDescent="0.25">
      <c r="A5" s="2" t="s">
        <v>3</v>
      </c>
    </row>
    <row r="6" spans="1:1" x14ac:dyDescent="0.25">
      <c r="A6" s="2" t="s">
        <v>1</v>
      </c>
    </row>
    <row r="7" spans="1:1" x14ac:dyDescent="0.25">
      <c r="A7" s="2" t="s">
        <v>4</v>
      </c>
    </row>
    <row r="8" spans="1:1" x14ac:dyDescent="0.25">
      <c r="A8" s="2" t="s">
        <v>1</v>
      </c>
    </row>
    <row r="9" spans="1:1" x14ac:dyDescent="0.25">
      <c r="A9" s="2" t="s">
        <v>5</v>
      </c>
    </row>
    <row r="10" spans="1:1" x14ac:dyDescent="0.25">
      <c r="A10" s="2" t="s">
        <v>1</v>
      </c>
    </row>
    <row r="11" spans="1:1" x14ac:dyDescent="0.25">
      <c r="A11" s="2" t="s">
        <v>6</v>
      </c>
    </row>
    <row r="12" spans="1:1" x14ac:dyDescent="0.25">
      <c r="A12" s="2" t="s">
        <v>1</v>
      </c>
    </row>
    <row r="13" spans="1:1" x14ac:dyDescent="0.25">
      <c r="A13" s="2" t="s">
        <v>7</v>
      </c>
    </row>
    <row r="14" spans="1:1" x14ac:dyDescent="0.25">
      <c r="A14" s="2" t="s">
        <v>1</v>
      </c>
    </row>
    <row r="15" spans="1:1" x14ac:dyDescent="0.25">
      <c r="A15" s="2" t="s">
        <v>8</v>
      </c>
    </row>
    <row r="16" spans="1:1" x14ac:dyDescent="0.25">
      <c r="A16" s="2" t="s">
        <v>1</v>
      </c>
    </row>
    <row r="17" spans="1:1" x14ac:dyDescent="0.25">
      <c r="A17" s="2" t="s">
        <v>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0"/>
  <sheetViews>
    <sheetView workbookViewId="0">
      <pane ySplit="2" topLeftCell="A3" activePane="bottomLeft" state="frozen"/>
      <selection pane="bottomLeft"/>
    </sheetView>
  </sheetViews>
  <sheetFormatPr defaultRowHeight="15" outlineLevelRow="0" outlineLevelCol="0" x14ac:dyDescent="55"/>
  <cols>
    <col min="1" max="1" width="34" customWidth="1"/>
    <col min="2" max="2" width="10" customWidth="1"/>
    <col min="3" max="3" width="16" customWidth="1"/>
    <col min="4" max="4" width="12" customWidth="1"/>
    <col min="5" max="5" width="14" customWidth="1"/>
    <col min="6" max="6" width="52" customWidth="1"/>
    <col min="7" max="7" width="60" customWidth="1"/>
  </cols>
  <sheetData>
    <row r="1" spans="1:1" x14ac:dyDescent="0.25">
      <c r="A1" s="1" t="s">
        <v>10</v>
      </c>
    </row>
    <row r="2" spans="1:7" x14ac:dyDescent="0.25">
      <c r="A2" s="3" t="s">
        <v>11</v>
      </c>
      <c r="B2" s="3" t="s">
        <v>12</v>
      </c>
      <c r="C2" s="3" t="s">
        <v>13</v>
      </c>
      <c r="D2" s="3" t="s">
        <v>14</v>
      </c>
      <c r="E2" s="3" t="s">
        <v>15</v>
      </c>
      <c r="F2" s="3" t="s">
        <v>16</v>
      </c>
      <c r="G2" s="3" t="s">
        <v>17</v>
      </c>
    </row>
    <row r="3" spans="1:7" x14ac:dyDescent="0.25">
      <c r="A3" s="4" t="s">
        <v>18</v>
      </c>
      <c r="B3" s="4"/>
      <c r="C3" s="4"/>
      <c r="D3" s="4"/>
      <c r="E3" s="4"/>
      <c r="F3" s="4"/>
      <c r="G3" s="4"/>
    </row>
    <row r="4" spans="1:7" x14ac:dyDescent="0.25">
      <c r="A4" s="2" t="s">
        <v>19</v>
      </c>
      <c r="B4" s="2" t="s">
        <v>20</v>
      </c>
      <c r="C4" s="5">
        <v>750</v>
      </c>
      <c r="D4" s="2" t="s">
        <v>21</v>
      </c>
      <c r="E4" s="2" t="s">
        <v>22</v>
      </c>
      <c r="F4" s="2" t="s">
        <v>23</v>
      </c>
      <c r="G4" s="2" t="s">
        <v>24</v>
      </c>
    </row>
    <row r="5" spans="1:7" x14ac:dyDescent="0.25">
      <c r="A5" s="2" t="s">
        <v>25</v>
      </c>
      <c r="B5" s="2" t="s">
        <v>26</v>
      </c>
      <c r="C5" s="5">
        <v>55</v>
      </c>
      <c r="D5" s="2" t="s">
        <v>27</v>
      </c>
      <c r="E5" s="2" t="s">
        <v>28</v>
      </c>
      <c r="F5" s="2" t="s">
        <v>29</v>
      </c>
      <c r="G5" s="2" t="s">
        <v>30</v>
      </c>
    </row>
    <row r="6" spans="1:7" x14ac:dyDescent="0.25">
      <c r="A6" s="2" t="s">
        <v>31</v>
      </c>
      <c r="B6" s="2" t="s">
        <v>32</v>
      </c>
      <c r="C6" s="5">
        <v>27</v>
      </c>
      <c r="D6" s="2" t="s">
        <v>27</v>
      </c>
      <c r="E6" s="2" t="s">
        <v>22</v>
      </c>
      <c r="F6" s="2" t="s">
        <v>33</v>
      </c>
      <c r="G6" s="2" t="s">
        <v>34</v>
      </c>
    </row>
    <row r="7" spans="1:7" x14ac:dyDescent="0.25">
      <c r="A7" s="2" t="s">
        <v>35</v>
      </c>
      <c r="B7" s="2" t="s">
        <v>36</v>
      </c>
      <c r="C7" s="5">
        <v>93.5</v>
      </c>
      <c r="D7" s="2" t="s">
        <v>27</v>
      </c>
      <c r="E7" s="2" t="s">
        <v>22</v>
      </c>
      <c r="F7" s="2" t="s">
        <v>37</v>
      </c>
      <c r="G7" s="2" t="s">
        <v>38</v>
      </c>
    </row>
    <row r="8" spans="1:7" x14ac:dyDescent="0.25">
      <c r="A8" s="2" t="s">
        <v>39</v>
      </c>
      <c r="B8" s="2" t="s">
        <v>40</v>
      </c>
      <c r="C8" s="5">
        <v>5.24</v>
      </c>
      <c r="D8" s="2" t="s">
        <v>27</v>
      </c>
      <c r="E8" s="2" t="s">
        <v>22</v>
      </c>
      <c r="F8" s="2" t="s">
        <v>41</v>
      </c>
      <c r="G8" s="2" t="s">
        <v>42</v>
      </c>
    </row>
    <row r="9" spans="1:7" x14ac:dyDescent="0.25">
      <c r="A9" s="2" t="s">
        <v>43</v>
      </c>
      <c r="B9" s="2" t="s">
        <v>44</v>
      </c>
      <c r="C9" s="5">
        <v>15</v>
      </c>
      <c r="D9" s="2" t="s">
        <v>27</v>
      </c>
      <c r="E9" s="2" t="s">
        <v>22</v>
      </c>
      <c r="F9" s="2" t="s">
        <v>45</v>
      </c>
      <c r="G9" s="2" t="s">
        <v>46</v>
      </c>
    </row>
    <row r="10" spans="1:7" x14ac:dyDescent="0.25">
      <c r="A10" s="2" t="s">
        <v>47</v>
      </c>
      <c r="B10" s="2" t="s">
        <v>48</v>
      </c>
      <c r="C10" s="5">
        <v>400</v>
      </c>
      <c r="D10" s="2" t="s">
        <v>49</v>
      </c>
      <c r="E10" s="2" t="s">
        <v>22</v>
      </c>
      <c r="F10" s="2" t="s">
        <v>50</v>
      </c>
      <c r="G10" s="2" t="s">
        <v>51</v>
      </c>
    </row>
    <row r="11" spans="1:7" x14ac:dyDescent="0.25">
      <c r="A11" s="2" t="s">
        <v>52</v>
      </c>
      <c r="B11" s="2" t="s">
        <v>53</v>
      </c>
      <c r="C11" s="6">
        <v>6</v>
      </c>
      <c r="D11" s="2" t="s">
        <v>54</v>
      </c>
      <c r="E11" s="2" t="s">
        <v>22</v>
      </c>
      <c r="F11" s="2" t="s">
        <v>55</v>
      </c>
      <c r="G11" s="2" t="s">
        <v>56</v>
      </c>
    </row>
    <row r="12" spans="1:7" x14ac:dyDescent="0.25">
      <c r="A12" s="2" t="s">
        <v>57</v>
      </c>
      <c r="B12" s="2" t="s">
        <v>58</v>
      </c>
      <c r="C12" s="6">
        <v>1</v>
      </c>
      <c r="D12" s="2" t="s">
        <v>54</v>
      </c>
      <c r="E12" s="2" t="s">
        <v>22</v>
      </c>
      <c r="F12" s="2" t="s">
        <v>59</v>
      </c>
      <c r="G12" s="2" t="s">
        <v>60</v>
      </c>
    </row>
    <row r="13" spans="1:7" x14ac:dyDescent="0.25">
      <c r="A13" s="2" t="s">
        <v>61</v>
      </c>
      <c r="B13" s="2" t="s">
        <v>62</v>
      </c>
      <c r="C13" s="7">
        <f>'Inputs'!C11/'Inputs'!C12</f>
        <v>6</v>
      </c>
      <c r="D13" s="2" t="s">
        <v>63</v>
      </c>
      <c r="E13" s="2" t="s">
        <v>22</v>
      </c>
      <c r="F13" s="2" t="s">
        <v>64</v>
      </c>
      <c r="G13" s="2" t="s">
        <v>65</v>
      </c>
    </row>
    <row r="14" spans="1:7" x14ac:dyDescent="0.25">
      <c r="A14" s="2" t="s">
        <v>66</v>
      </c>
      <c r="B14" s="2" t="s">
        <v>67</v>
      </c>
      <c r="C14" s="8">
        <f>'Inputs'!C10/'Inputs'!C13</f>
        <v>66.66666666666667</v>
      </c>
      <c r="D14" s="2" t="s">
        <v>27</v>
      </c>
      <c r="E14" s="2" t="s">
        <v>22</v>
      </c>
      <c r="F14" s="2" t="s">
        <v>68</v>
      </c>
      <c r="G14" s="2" t="s">
        <v>69</v>
      </c>
    </row>
    <row r="15" spans="1:7" x14ac:dyDescent="0.25">
      <c r="A15" s="2" t="s">
        <v>70</v>
      </c>
      <c r="B15" s="2" t="s">
        <v>71</v>
      </c>
      <c r="C15" s="8">
        <f>SUM('Inputs'!C5,'Inputs'!C6,'Inputs'!C7,'Inputs'!C8,'Inputs'!C9,'Inputs'!C14)</f>
        <v>262.4066666666667</v>
      </c>
      <c r="D15" s="2" t="s">
        <v>27</v>
      </c>
      <c r="E15" s="2" t="s">
        <v>28</v>
      </c>
      <c r="F15" s="2" t="s">
        <v>72</v>
      </c>
      <c r="G15" s="2" t="s">
        <v>73</v>
      </c>
    </row>
    <row r="16" spans="1:7" x14ac:dyDescent="0.25">
      <c r="A16" s="2" t="s">
        <v>74</v>
      </c>
      <c r="B16" s="2" t="s">
        <v>75</v>
      </c>
      <c r="C16" s="5">
        <v>100</v>
      </c>
      <c r="D16" s="2" t="s">
        <v>27</v>
      </c>
      <c r="E16" s="2" t="s">
        <v>22</v>
      </c>
      <c r="F16" s="2" t="s">
        <v>76</v>
      </c>
      <c r="G16" s="2" t="s">
        <v>77</v>
      </c>
    </row>
    <row r="17" spans="1:7" x14ac:dyDescent="0.25">
      <c r="A17" s="2" t="s">
        <v>78</v>
      </c>
      <c r="B17" s="2" t="s">
        <v>79</v>
      </c>
      <c r="C17" s="5">
        <v>100</v>
      </c>
      <c r="D17" s="2" t="s">
        <v>27</v>
      </c>
      <c r="E17" s="2" t="s">
        <v>22</v>
      </c>
      <c r="F17" s="2" t="s">
        <v>80</v>
      </c>
      <c r="G17" s="2" t="s">
        <v>81</v>
      </c>
    </row>
    <row r="18" spans="1:7" x14ac:dyDescent="0.25">
      <c r="A18" s="2" t="s">
        <v>82</v>
      </c>
      <c r="B18" s="2" t="s">
        <v>83</v>
      </c>
      <c r="C18" s="8">
        <f>'Inputs'!C4-'Inputs'!C15-'Inputs'!C16-'Inputs'!C17</f>
        <v>287.5933333333333</v>
      </c>
      <c r="D18" s="2" t="s">
        <v>27</v>
      </c>
      <c r="E18" s="2" t="s">
        <v>28</v>
      </c>
      <c r="F18" s="2" t="s">
        <v>84</v>
      </c>
      <c r="G18" s="2" t="s">
        <v>85</v>
      </c>
    </row>
    <row r="19" spans="1:7" x14ac:dyDescent="0.25">
      <c r="A19" s="4" t="s">
        <v>86</v>
      </c>
      <c r="B19" s="4"/>
      <c r="C19" s="4"/>
      <c r="D19" s="4"/>
      <c r="E19" s="4"/>
      <c r="F19" s="4"/>
      <c r="G19" s="4"/>
    </row>
    <row r="20" spans="1:7" x14ac:dyDescent="0.25">
      <c r="A20" s="2" t="s">
        <v>87</v>
      </c>
      <c r="B20" s="2" t="s">
        <v>88</v>
      </c>
      <c r="C20" s="6">
        <v>400</v>
      </c>
      <c r="D20" s="2" t="s">
        <v>89</v>
      </c>
      <c r="E20" s="2" t="s">
        <v>22</v>
      </c>
      <c r="F20" s="2" t="s">
        <v>90</v>
      </c>
      <c r="G20" s="2" t="s">
        <v>91</v>
      </c>
    </row>
    <row r="21" spans="1:7" x14ac:dyDescent="0.25">
      <c r="A21" s="2" t="s">
        <v>92</v>
      </c>
      <c r="B21" s="2" t="s">
        <v>93</v>
      </c>
      <c r="C21" s="6">
        <v>4</v>
      </c>
      <c r="D21" s="2" t="s">
        <v>94</v>
      </c>
      <c r="E21" s="2" t="s">
        <v>22</v>
      </c>
      <c r="F21" s="2" t="s">
        <v>95</v>
      </c>
      <c r="G21" s="2" t="s">
        <v>96</v>
      </c>
    </row>
    <row r="22" spans="1:7" x14ac:dyDescent="0.25">
      <c r="A22" s="2" t="s">
        <v>97</v>
      </c>
      <c r="B22" s="2" t="s">
        <v>98</v>
      </c>
      <c r="C22" s="9">
        <f>'Inputs'!C20/'Inputs'!C21</f>
        <v>100</v>
      </c>
      <c r="D22" s="2" t="s">
        <v>89</v>
      </c>
      <c r="E22" s="2" t="s">
        <v>22</v>
      </c>
      <c r="F22" s="2" t="s">
        <v>99</v>
      </c>
      <c r="G22" s="2" t="s">
        <v>100</v>
      </c>
    </row>
    <row r="23" spans="1:7" x14ac:dyDescent="0.25">
      <c r="A23" s="2" t="s">
        <v>101</v>
      </c>
      <c r="B23" s="2" t="s">
        <v>102</v>
      </c>
      <c r="C23" s="8">
        <f>'Inputs'!C20*'Inputs'!C16</f>
        <v>40000</v>
      </c>
      <c r="D23" s="2" t="s">
        <v>21</v>
      </c>
      <c r="E23" s="2" t="s">
        <v>22</v>
      </c>
      <c r="F23" s="2" t="s">
        <v>103</v>
      </c>
      <c r="G23" s="2" t="s">
        <v>104</v>
      </c>
    </row>
    <row r="24" spans="1:7" x14ac:dyDescent="0.25">
      <c r="A24" s="2" t="s">
        <v>105</v>
      </c>
      <c r="B24" s="2" t="s">
        <v>106</v>
      </c>
      <c r="C24" s="6">
        <v>12</v>
      </c>
      <c r="D24" s="2" t="s">
        <v>107</v>
      </c>
      <c r="E24" s="2" t="s">
        <v>22</v>
      </c>
      <c r="F24" s="2" t="s">
        <v>108</v>
      </c>
      <c r="G24" s="2" t="s">
        <v>109</v>
      </c>
    </row>
    <row r="25" spans="1:7" x14ac:dyDescent="0.25">
      <c r="A25" s="4" t="s">
        <v>110</v>
      </c>
      <c r="B25" s="4"/>
      <c r="C25" s="4"/>
      <c r="D25" s="4"/>
      <c r="E25" s="4"/>
      <c r="F25" s="4"/>
      <c r="G25" s="4"/>
    </row>
    <row r="26" spans="1:7" x14ac:dyDescent="0.25">
      <c r="A26" s="2" t="s">
        <v>111</v>
      </c>
      <c r="B26" s="2" t="s">
        <v>112</v>
      </c>
      <c r="C26" s="6">
        <v>4</v>
      </c>
      <c r="D26" s="2" t="s">
        <v>113</v>
      </c>
      <c r="E26" s="2" t="s">
        <v>22</v>
      </c>
      <c r="F26" s="2" t="s">
        <v>114</v>
      </c>
      <c r="G26" s="2" t="s">
        <v>96</v>
      </c>
    </row>
    <row r="27" spans="1:7" x14ac:dyDescent="0.25">
      <c r="A27" s="2" t="s">
        <v>115</v>
      </c>
      <c r="B27" s="2" t="s">
        <v>116</v>
      </c>
      <c r="C27" s="5">
        <v>10000</v>
      </c>
      <c r="D27" s="2" t="s">
        <v>21</v>
      </c>
      <c r="E27" s="2" t="s">
        <v>22</v>
      </c>
      <c r="F27" s="2" t="s">
        <v>117</v>
      </c>
      <c r="G27" s="2" t="s">
        <v>118</v>
      </c>
    </row>
    <row r="28" spans="1:7" x14ac:dyDescent="0.25">
      <c r="A28" s="2" t="s">
        <v>119</v>
      </c>
      <c r="B28" s="2" t="s">
        <v>120</v>
      </c>
      <c r="C28" s="8">
        <f>'Inputs'!C17*'Inputs'!C20</f>
        <v>40000</v>
      </c>
      <c r="D28" s="2" t="s">
        <v>21</v>
      </c>
      <c r="E28" s="2" t="s">
        <v>22</v>
      </c>
      <c r="F28" s="2" t="s">
        <v>121</v>
      </c>
      <c r="G28" s="2" t="s">
        <v>122</v>
      </c>
    </row>
    <row r="29" spans="1:7" x14ac:dyDescent="0.25">
      <c r="A29" s="4" t="s">
        <v>123</v>
      </c>
      <c r="B29" s="4"/>
      <c r="C29" s="4"/>
      <c r="D29" s="4"/>
      <c r="E29" s="4"/>
      <c r="F29" s="4"/>
      <c r="G29" s="4"/>
    </row>
    <row r="30" spans="1:7" x14ac:dyDescent="0.25">
      <c r="A30" s="2" t="s">
        <v>124</v>
      </c>
      <c r="B30" s="2" t="s">
        <v>125</v>
      </c>
      <c r="C30" s="5">
        <v>151200</v>
      </c>
      <c r="D30" s="2" t="s">
        <v>126</v>
      </c>
      <c r="E30" s="2" t="s">
        <v>127</v>
      </c>
      <c r="F30" s="2" t="s">
        <v>128</v>
      </c>
      <c r="G30" s="2" t="s">
        <v>129</v>
      </c>
    </row>
    <row r="31" spans="1:7" x14ac:dyDescent="0.25">
      <c r="A31" s="2" t="s">
        <v>130</v>
      </c>
      <c r="B31" s="2" t="s">
        <v>131</v>
      </c>
      <c r="C31" s="5">
        <v>51000</v>
      </c>
      <c r="D31" s="2" t="s">
        <v>126</v>
      </c>
      <c r="E31" s="2" t="s">
        <v>22</v>
      </c>
      <c r="F31" s="2" t="s">
        <v>132</v>
      </c>
      <c r="G31" s="2" t="s">
        <v>133</v>
      </c>
    </row>
    <row r="32" spans="1:7" x14ac:dyDescent="0.25">
      <c r="A32" s="2" t="s">
        <v>134</v>
      </c>
      <c r="B32" s="2" t="s">
        <v>135</v>
      </c>
      <c r="C32" s="5">
        <v>3674</v>
      </c>
      <c r="D32" s="2" t="s">
        <v>126</v>
      </c>
      <c r="E32" s="2" t="s">
        <v>22</v>
      </c>
      <c r="F32" s="2" t="s">
        <v>136</v>
      </c>
      <c r="G32" s="2" t="s">
        <v>137</v>
      </c>
    </row>
    <row r="33" spans="1:7" x14ac:dyDescent="0.25">
      <c r="A33" s="2" t="s">
        <v>138</v>
      </c>
      <c r="B33" s="2" t="s">
        <v>139</v>
      </c>
      <c r="C33" s="5">
        <v>27000</v>
      </c>
      <c r="D33" s="2" t="s">
        <v>126</v>
      </c>
      <c r="E33" s="2" t="s">
        <v>22</v>
      </c>
      <c r="F33" s="2" t="s">
        <v>140</v>
      </c>
      <c r="G33" s="2" t="s">
        <v>141</v>
      </c>
    </row>
    <row r="34" spans="1:7" x14ac:dyDescent="0.25">
      <c r="A34" s="2" t="s">
        <v>142</v>
      </c>
      <c r="B34" s="2" t="s">
        <v>143</v>
      </c>
      <c r="C34" s="5">
        <v>10000</v>
      </c>
      <c r="D34" s="2" t="s">
        <v>126</v>
      </c>
      <c r="E34" s="2" t="s">
        <v>22</v>
      </c>
      <c r="F34" s="2" t="s">
        <v>144</v>
      </c>
      <c r="G34" s="2" t="s">
        <v>145</v>
      </c>
    </row>
    <row r="35" spans="1:7" x14ac:dyDescent="0.25">
      <c r="A35" s="2" t="s">
        <v>146</v>
      </c>
      <c r="B35" s="2" t="s">
        <v>147</v>
      </c>
      <c r="C35" s="5">
        <v>8350</v>
      </c>
      <c r="D35" s="2" t="s">
        <v>126</v>
      </c>
      <c r="E35" s="2" t="s">
        <v>22</v>
      </c>
      <c r="F35" s="2" t="s">
        <v>148</v>
      </c>
      <c r="G35" s="2" t="s">
        <v>149</v>
      </c>
    </row>
    <row r="36" spans="1:7" x14ac:dyDescent="0.25">
      <c r="A36" s="2" t="s">
        <v>150</v>
      </c>
      <c r="B36" s="2" t="s">
        <v>151</v>
      </c>
      <c r="C36" s="8">
        <f>SUM('Inputs'!C30,'Inputs'!C31,'Inputs'!C32,'Inputs'!C33,'Inputs'!C34,'Inputs'!C35)</f>
        <v>251224</v>
      </c>
      <c r="D36" s="2" t="s">
        <v>126</v>
      </c>
      <c r="E36" s="2" t="s">
        <v>22</v>
      </c>
      <c r="F36" s="2" t="s">
        <v>152</v>
      </c>
      <c r="G36" s="2" t="s">
        <v>153</v>
      </c>
    </row>
    <row r="37" spans="1:7" x14ac:dyDescent="0.25">
      <c r="A37" s="2" t="s">
        <v>154</v>
      </c>
      <c r="B37" s="2" t="s">
        <v>155</v>
      </c>
      <c r="C37" s="8">
        <f>'Inputs'!C36+'Inputs'!C28+'Inputs'!C23</f>
        <v>331224</v>
      </c>
      <c r="D37" s="2" t="s">
        <v>126</v>
      </c>
      <c r="E37" s="2" t="s">
        <v>22</v>
      </c>
      <c r="F37" s="2" t="s">
        <v>156</v>
      </c>
      <c r="G37" s="2" t="s">
        <v>157</v>
      </c>
    </row>
    <row r="38" spans="1:7" x14ac:dyDescent="0.25">
      <c r="A38" s="2" t="s">
        <v>158</v>
      </c>
      <c r="B38" s="2" t="s">
        <v>159</v>
      </c>
      <c r="C38" s="8">
        <f>'Inputs'!C20*'Inputs'!C18</f>
        <v>115037.33333333333</v>
      </c>
      <c r="D38" s="2" t="s">
        <v>126</v>
      </c>
      <c r="E38" s="2" t="s">
        <v>28</v>
      </c>
      <c r="F38" s="2" t="s">
        <v>160</v>
      </c>
      <c r="G38" s="2" t="s">
        <v>161</v>
      </c>
    </row>
    <row r="39" spans="1:7" x14ac:dyDescent="0.25">
      <c r="A39" s="2" t="s">
        <v>162</v>
      </c>
      <c r="B39" s="2" t="s">
        <v>163</v>
      </c>
      <c r="C39" s="8">
        <f>'Inputs'!C36-'Inputs'!C38</f>
        <v>136186.6666666667</v>
      </c>
      <c r="D39" s="2" t="s">
        <v>126</v>
      </c>
      <c r="E39" s="2" t="s">
        <v>28</v>
      </c>
      <c r="F39" s="2" t="s">
        <v>164</v>
      </c>
      <c r="G39" s="2" t="s">
        <v>165</v>
      </c>
    </row>
    <row r="40" spans="1:7" x14ac:dyDescent="0.25">
      <c r="A40" s="4" t="s">
        <v>166</v>
      </c>
      <c r="B40" s="4"/>
      <c r="C40" s="4"/>
      <c r="D40" s="4"/>
      <c r="E40" s="4"/>
      <c r="F40" s="4"/>
      <c r="G40" s="4"/>
    </row>
    <row r="41" spans="1:7" x14ac:dyDescent="0.25">
      <c r="A41" s="2" t="s">
        <v>167</v>
      </c>
      <c r="B41" s="2" t="s">
        <v>168</v>
      </c>
      <c r="C41" s="6">
        <v>2</v>
      </c>
      <c r="D41" s="2" t="s">
        <v>169</v>
      </c>
      <c r="E41" s="2" t="s">
        <v>22</v>
      </c>
      <c r="F41" s="2" t="s">
        <v>170</v>
      </c>
      <c r="G41" s="2" t="s">
        <v>171</v>
      </c>
    </row>
    <row r="42" spans="1:7" x14ac:dyDescent="0.25">
      <c r="A42" s="2" t="s">
        <v>172</v>
      </c>
      <c r="B42" s="2" t="s">
        <v>173</v>
      </c>
      <c r="C42" s="5">
        <v>150000</v>
      </c>
      <c r="D42" s="2" t="s">
        <v>21</v>
      </c>
      <c r="E42" s="2" t="s">
        <v>22</v>
      </c>
      <c r="F42" s="2" t="s">
        <v>174</v>
      </c>
      <c r="G42" s="2" t="s">
        <v>175</v>
      </c>
    </row>
    <row r="43" spans="1:7" x14ac:dyDescent="0.25">
      <c r="A43" s="2" t="s">
        <v>176</v>
      </c>
      <c r="B43" s="2" t="s">
        <v>177</v>
      </c>
      <c r="C43" s="5">
        <v>95767</v>
      </c>
      <c r="D43" s="2" t="s">
        <v>21</v>
      </c>
      <c r="E43" s="2" t="s">
        <v>22</v>
      </c>
      <c r="F43" s="2" t="s">
        <v>178</v>
      </c>
      <c r="G43" s="2" t="s">
        <v>179</v>
      </c>
    </row>
    <row r="44" spans="1:7" x14ac:dyDescent="0.25">
      <c r="A44" s="2" t="s">
        <v>180</v>
      </c>
      <c r="B44" s="2" t="s">
        <v>181</v>
      </c>
      <c r="C44" s="5">
        <v>142467</v>
      </c>
      <c r="D44" s="2" t="s">
        <v>21</v>
      </c>
      <c r="E44" s="2" t="s">
        <v>22</v>
      </c>
      <c r="F44" s="2" t="s">
        <v>178</v>
      </c>
      <c r="G44" s="2" t="s">
        <v>182</v>
      </c>
    </row>
    <row r="45" spans="1:7" x14ac:dyDescent="0.25">
      <c r="A45" s="2" t="s">
        <v>183</v>
      </c>
      <c r="B45" s="2" t="s">
        <v>184</v>
      </c>
      <c r="C45" s="8">
        <f>'Inputs'!C41*'Inputs'!C42</f>
        <v>300000</v>
      </c>
      <c r="D45" s="2" t="s">
        <v>21</v>
      </c>
      <c r="E45" s="2" t="s">
        <v>22</v>
      </c>
      <c r="F45" s="2" t="s">
        <v>185</v>
      </c>
      <c r="G45" s="2" t="s">
        <v>186</v>
      </c>
    </row>
    <row r="46" spans="1:7" x14ac:dyDescent="0.25">
      <c r="A46" s="4" t="s">
        <v>187</v>
      </c>
      <c r="B46" s="4"/>
      <c r="C46" s="4"/>
      <c r="D46" s="4"/>
      <c r="E46" s="4"/>
      <c r="F46" s="4"/>
      <c r="G46" s="4"/>
    </row>
    <row r="47" spans="1:7" x14ac:dyDescent="0.25">
      <c r="A47" s="2" t="s">
        <v>188</v>
      </c>
      <c r="B47" s="2" t="s">
        <v>189</v>
      </c>
      <c r="C47" s="6">
        <v>20</v>
      </c>
      <c r="D47" s="2" t="s">
        <v>190</v>
      </c>
      <c r="E47" s="2" t="s">
        <v>22</v>
      </c>
      <c r="F47" s="2" t="s">
        <v>191</v>
      </c>
      <c r="G47" s="2" t="s">
        <v>192</v>
      </c>
    </row>
    <row r="48" spans="1:7" x14ac:dyDescent="0.25">
      <c r="A48" s="2" t="s">
        <v>193</v>
      </c>
      <c r="B48" s="2" t="s">
        <v>194</v>
      </c>
      <c r="C48" s="10">
        <v>0.8</v>
      </c>
      <c r="D48" s="2" t="s">
        <v>195</v>
      </c>
      <c r="E48" s="2" t="s">
        <v>22</v>
      </c>
      <c r="F48" s="2" t="s">
        <v>196</v>
      </c>
      <c r="G48" s="2" t="s">
        <v>197</v>
      </c>
    </row>
    <row r="49" spans="1:7" x14ac:dyDescent="0.25">
      <c r="A49" s="2" t="s">
        <v>198</v>
      </c>
      <c r="B49" s="2" t="s">
        <v>199</v>
      </c>
      <c r="C49" s="7">
        <f>'Inputs'!C47*'Inputs'!C48</f>
        <v>16</v>
      </c>
      <c r="D49" s="2" t="s">
        <v>190</v>
      </c>
      <c r="E49" s="2" t="s">
        <v>22</v>
      </c>
      <c r="F49" s="2" t="s">
        <v>200</v>
      </c>
      <c r="G49" s="2" t="s">
        <v>201</v>
      </c>
    </row>
    <row r="50" spans="1:7" x14ac:dyDescent="0.25">
      <c r="A50" s="2" t="s">
        <v>202</v>
      </c>
      <c r="B50" s="2" t="s">
        <v>203</v>
      </c>
      <c r="C50" s="9">
        <f>FLOOR('Inputs'!C13*'Inputs'!C49,1)</f>
        <v>96</v>
      </c>
      <c r="D50" s="2" t="s">
        <v>63</v>
      </c>
      <c r="E50" s="2" t="s">
        <v>22</v>
      </c>
      <c r="F50" s="2" t="s">
        <v>204</v>
      </c>
      <c r="G50" s="2" t="s">
        <v>205</v>
      </c>
    </row>
    <row r="51" spans="1:7" x14ac:dyDescent="0.25">
      <c r="A51" s="2" t="s">
        <v>206</v>
      </c>
      <c r="B51" s="2" t="s">
        <v>207</v>
      </c>
      <c r="C51" s="9">
        <f>'Inputs'!C50*'Inputs'!C24</f>
        <v>1152</v>
      </c>
      <c r="D51" s="2" t="s">
        <v>63</v>
      </c>
      <c r="E51" s="2" t="s">
        <v>22</v>
      </c>
      <c r="F51" s="2" t="s">
        <v>208</v>
      </c>
      <c r="G51" s="2" t="s">
        <v>209</v>
      </c>
    </row>
    <row r="52" spans="1:7" x14ac:dyDescent="0.25">
      <c r="A52" s="4" t="s">
        <v>210</v>
      </c>
      <c r="B52" s="4"/>
      <c r="C52" s="4"/>
      <c r="D52" s="4"/>
      <c r="E52" s="4"/>
      <c r="F52" s="4"/>
      <c r="G52" s="4"/>
    </row>
    <row r="53" spans="1:7" x14ac:dyDescent="0.25">
      <c r="A53" s="2" t="s">
        <v>211</v>
      </c>
      <c r="B53" s="2" t="s">
        <v>212</v>
      </c>
      <c r="C53" s="5">
        <v>50000</v>
      </c>
      <c r="D53" s="2" t="s">
        <v>21</v>
      </c>
      <c r="E53" s="2" t="s">
        <v>22</v>
      </c>
      <c r="F53" s="2" t="s">
        <v>213</v>
      </c>
      <c r="G53" s="2" t="s">
        <v>214</v>
      </c>
    </row>
    <row r="54" spans="1:7" x14ac:dyDescent="0.25">
      <c r="A54" s="2" t="s">
        <v>215</v>
      </c>
      <c r="B54" s="2" t="s">
        <v>216</v>
      </c>
      <c r="C54" s="5">
        <v>200000</v>
      </c>
      <c r="D54" s="2" t="s">
        <v>21</v>
      </c>
      <c r="E54" s="2" t="s">
        <v>22</v>
      </c>
      <c r="F54" s="2" t="s">
        <v>217</v>
      </c>
      <c r="G54" s="2" t="s">
        <v>218</v>
      </c>
    </row>
    <row r="55" spans="1:7" x14ac:dyDescent="0.25">
      <c r="A55" s="2" t="s">
        <v>219</v>
      </c>
      <c r="B55" s="2" t="s">
        <v>220</v>
      </c>
      <c r="C55" s="2" t="s">
        <v>221</v>
      </c>
      <c r="D55" s="2" t="s">
        <v>222</v>
      </c>
      <c r="E55" s="2" t="s">
        <v>127</v>
      </c>
      <c r="F55" s="2" t="s">
        <v>223</v>
      </c>
      <c r="G55" s="2" t="s">
        <v>224</v>
      </c>
    </row>
    <row r="56" spans="1:7" x14ac:dyDescent="0.25">
      <c r="A56" s="4" t="s">
        <v>225</v>
      </c>
      <c r="B56" s="4"/>
      <c r="C56" s="4"/>
      <c r="D56" s="4"/>
      <c r="E56" s="4"/>
      <c r="F56" s="4"/>
      <c r="G56" s="4"/>
    </row>
    <row r="57" spans="1:7" x14ac:dyDescent="0.25">
      <c r="A57" s="2" t="s">
        <v>226</v>
      </c>
      <c r="B57" s="2" t="s">
        <v>227</v>
      </c>
      <c r="C57" s="5">
        <v>30000</v>
      </c>
      <c r="D57" s="2" t="s">
        <v>21</v>
      </c>
      <c r="E57" s="2" t="s">
        <v>22</v>
      </c>
      <c r="F57" s="2" t="s">
        <v>228</v>
      </c>
      <c r="G57" s="2" t="s">
        <v>229</v>
      </c>
    </row>
    <row r="58" spans="1:7" x14ac:dyDescent="0.25">
      <c r="A58" s="2" t="s">
        <v>230</v>
      </c>
      <c r="B58" s="2" t="s">
        <v>231</v>
      </c>
      <c r="C58" s="5">
        <v>80000</v>
      </c>
      <c r="D58" s="2" t="s">
        <v>21</v>
      </c>
      <c r="E58" s="2" t="s">
        <v>22</v>
      </c>
      <c r="F58" s="2" t="s">
        <v>232</v>
      </c>
      <c r="G58" s="2" t="s">
        <v>233</v>
      </c>
    </row>
    <row r="59" spans="1:7" x14ac:dyDescent="0.25">
      <c r="A59" s="4" t="s">
        <v>234</v>
      </c>
      <c r="B59" s="4"/>
      <c r="C59" s="4"/>
      <c r="D59" s="4"/>
      <c r="E59" s="4"/>
      <c r="F59" s="4"/>
      <c r="G59" s="4"/>
    </row>
    <row r="60" spans="1:7" x14ac:dyDescent="0.25">
      <c r="A60" s="2" t="s">
        <v>235</v>
      </c>
      <c r="B60" s="2" t="s">
        <v>236</v>
      </c>
      <c r="C60" s="5">
        <v>4041</v>
      </c>
      <c r="D60" s="2" t="s">
        <v>21</v>
      </c>
      <c r="E60" s="2" t="s">
        <v>127</v>
      </c>
      <c r="F60" s="2" t="s">
        <v>237</v>
      </c>
      <c r="G60" s="2" t="s">
        <v>238</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
  <sheetViews>
    <sheetView workbookViewId="0">
      <pane ySplit="2" topLeftCell="A3" activePane="bottomLeft" state="frozen"/>
      <selection pane="bottomLeft"/>
    </sheetView>
  </sheetViews>
  <sheetFormatPr defaultRowHeight="15" outlineLevelRow="0" outlineLevelCol="0" x14ac:dyDescent="55"/>
  <cols>
    <col min="1" max="1" width="36" customWidth="1"/>
    <col min="2" max="3" width="16" customWidth="1"/>
    <col min="4" max="4" width="60" customWidth="1"/>
  </cols>
  <sheetData>
    <row r="1" spans="1:1" x14ac:dyDescent="0.25">
      <c r="A1" s="1" t="s">
        <v>239</v>
      </c>
    </row>
    <row r="2" spans="1:4" x14ac:dyDescent="0.25">
      <c r="A2" s="3" t="s">
        <v>240</v>
      </c>
      <c r="B2" s="3" t="s">
        <v>241</v>
      </c>
      <c r="C2" s="3" t="s">
        <v>242</v>
      </c>
      <c r="D2" s="3" t="s">
        <v>16</v>
      </c>
    </row>
    <row r="3" spans="1:4" x14ac:dyDescent="0.25">
      <c r="A3" s="4" t="s">
        <v>243</v>
      </c>
      <c r="B3" s="4"/>
      <c r="C3" s="4"/>
      <c r="D3" s="4"/>
    </row>
    <row r="4" spans="1:4" x14ac:dyDescent="0.25">
      <c r="A4" s="2" t="s">
        <v>19</v>
      </c>
      <c r="B4" s="8">
        <v>750</v>
      </c>
      <c r="C4" s="8">
        <f>'Inputs'!C4</f>
        <v>750</v>
      </c>
      <c r="D4" s="2" t="s">
        <v>244</v>
      </c>
    </row>
    <row r="5" spans="1:4" x14ac:dyDescent="0.25">
      <c r="A5" s="4" t="s">
        <v>245</v>
      </c>
      <c r="B5" s="4"/>
      <c r="C5" s="4"/>
      <c r="D5" s="4"/>
    </row>
    <row r="6" spans="1:4" x14ac:dyDescent="0.25">
      <c r="A6" s="2" t="s">
        <v>25</v>
      </c>
      <c r="B6" s="8">
        <v>55</v>
      </c>
      <c r="C6" s="8">
        <f>'Inputs'!C5</f>
        <v>55</v>
      </c>
      <c r="D6" s="2" t="s">
        <v>246</v>
      </c>
    </row>
    <row r="7" spans="1:4" x14ac:dyDescent="0.25">
      <c r="A7" s="2" t="s">
        <v>31</v>
      </c>
      <c r="B7" s="8">
        <v>27</v>
      </c>
      <c r="C7" s="8">
        <f>'Inputs'!C6</f>
        <v>27</v>
      </c>
      <c r="D7" s="2" t="s">
        <v>1</v>
      </c>
    </row>
    <row r="8" spans="1:4" x14ac:dyDescent="0.25">
      <c r="A8" s="2" t="s">
        <v>35</v>
      </c>
      <c r="B8" s="8">
        <v>93.5</v>
      </c>
      <c r="C8" s="8">
        <f>'Inputs'!C7</f>
        <v>93.5</v>
      </c>
      <c r="D8" s="2" t="s">
        <v>1</v>
      </c>
    </row>
    <row r="9" spans="1:4" x14ac:dyDescent="0.25">
      <c r="A9" s="2" t="s">
        <v>39</v>
      </c>
      <c r="B9" s="8">
        <v>5.24</v>
      </c>
      <c r="C9" s="8">
        <f>'Inputs'!C8</f>
        <v>5.24</v>
      </c>
      <c r="D9" s="2" t="s">
        <v>1</v>
      </c>
    </row>
    <row r="10" spans="1:4" x14ac:dyDescent="0.25">
      <c r="A10" s="2" t="s">
        <v>43</v>
      </c>
      <c r="B10" s="8">
        <v>15</v>
      </c>
      <c r="C10" s="8">
        <f>'Inputs'!C9</f>
        <v>15</v>
      </c>
      <c r="D10" s="2" t="s">
        <v>1</v>
      </c>
    </row>
    <row r="11" spans="1:4" x14ac:dyDescent="0.25">
      <c r="A11" s="2" t="s">
        <v>247</v>
      </c>
      <c r="B11" s="8">
        <v>66.66666666666667</v>
      </c>
      <c r="C11" s="8">
        <f>'Inputs'!C14</f>
        <v>66.66666666666667</v>
      </c>
      <c r="D11" s="2" t="s">
        <v>248</v>
      </c>
    </row>
    <row r="12" spans="1:4" x14ac:dyDescent="0.25">
      <c r="A12" s="2" t="s">
        <v>249</v>
      </c>
      <c r="B12" s="8">
        <v>262.4066666666667</v>
      </c>
      <c r="C12" s="8">
        <f>'Inputs'!C15</f>
        <v>262.4066666666667</v>
      </c>
      <c r="D12" s="2" t="s">
        <v>72</v>
      </c>
    </row>
    <row r="13" spans="1:4" x14ac:dyDescent="0.25">
      <c r="A13" s="4" t="s">
        <v>250</v>
      </c>
      <c r="B13" s="4"/>
      <c r="C13" s="4"/>
      <c r="D13" s="4"/>
    </row>
    <row r="14" spans="1:4" x14ac:dyDescent="0.25">
      <c r="A14" s="2" t="s">
        <v>251</v>
      </c>
      <c r="B14" s="8">
        <v>100</v>
      </c>
      <c r="C14" s="8">
        <f>'Inputs'!C16</f>
        <v>100</v>
      </c>
      <c r="D14" s="2" t="s">
        <v>252</v>
      </c>
    </row>
    <row r="15" spans="1:4" x14ac:dyDescent="0.25">
      <c r="A15" s="2" t="s">
        <v>253</v>
      </c>
      <c r="B15" s="8">
        <v>100</v>
      </c>
      <c r="C15" s="8">
        <f>'Inputs'!C17</f>
        <v>100</v>
      </c>
      <c r="D15" s="2" t="s">
        <v>254</v>
      </c>
    </row>
    <row r="16" spans="1:4" x14ac:dyDescent="0.25">
      <c r="A16" s="4" t="s">
        <v>255</v>
      </c>
      <c r="B16" s="4"/>
      <c r="C16" s="4"/>
      <c r="D16" s="4"/>
    </row>
    <row r="17" spans="1:4" x14ac:dyDescent="0.25">
      <c r="A17" s="2" t="s">
        <v>256</v>
      </c>
      <c r="B17" s="8">
        <v>287.5933333333333</v>
      </c>
      <c r="C17" s="8">
        <f>'Inputs'!C18</f>
        <v>287.5933333333333</v>
      </c>
      <c r="D17" s="2" t="s">
        <v>257</v>
      </c>
    </row>
    <row r="18" spans="1:4" x14ac:dyDescent="0.25">
      <c r="A18" s="4" t="s">
        <v>258</v>
      </c>
      <c r="B18" s="4"/>
      <c r="C18" s="4"/>
      <c r="D18" s="4"/>
    </row>
    <row r="19" spans="1:4" x14ac:dyDescent="0.25">
      <c r="A19" s="2" t="s">
        <v>150</v>
      </c>
      <c r="B19" s="8">
        <v>251224</v>
      </c>
      <c r="C19" s="8">
        <f>'Inputs'!C36</f>
        <v>251224</v>
      </c>
      <c r="D19" s="2" t="s">
        <v>259</v>
      </c>
    </row>
    <row r="20" spans="1:4" x14ac:dyDescent="0.25">
      <c r="A20" s="3" t="s">
        <v>260</v>
      </c>
      <c r="B20" s="11">
        <v>874</v>
      </c>
      <c r="C20" s="11">
        <f>CEILING('Inputs'!C36/'Inputs'!C18,1)</f>
        <v>874</v>
      </c>
      <c r="D20" s="3" t="s">
        <v>261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workbookViewId="0">
      <pane ySplit="2" topLeftCell="A3" activePane="bottomLeft" state="frozen"/>
      <selection pane="bottomLeft"/>
    </sheetView>
  </sheetViews>
  <sheetFormatPr defaultRowHeight="15" outlineLevelRow="0" outlineLevelCol="0" x14ac:dyDescent="55"/>
  <cols>
    <col min="1" max="1" width="40" customWidth="1"/>
    <col min="2" max="4" width="16" customWidth="1"/>
    <col min="5" max="6" width="12" customWidth="1"/>
    <col min="7" max="7" width="56" customWidth="1"/>
  </cols>
  <sheetData>
    <row r="1" spans="1:1" x14ac:dyDescent="0.25">
      <c r="A1" s="1" t="s">
        <v>262</v>
      </c>
    </row>
    <row r="2" spans="1:7" x14ac:dyDescent="0.25">
      <c r="A2" s="4" t="s">
        <v>263</v>
      </c>
      <c r="B2" s="4"/>
      <c r="C2" s="4"/>
      <c r="D2" s="4"/>
      <c r="E2" s="4"/>
      <c r="F2" s="4"/>
      <c r="G2" s="4"/>
    </row>
    <row r="3" spans="1:7" x14ac:dyDescent="0.25">
      <c r="A3" s="3" t="s">
        <v>264</v>
      </c>
      <c r="B3" s="3" t="s">
        <v>265</v>
      </c>
      <c r="C3" s="3" t="s">
        <v>266</v>
      </c>
      <c r="D3" s="3" t="s">
        <v>267</v>
      </c>
      <c r="E3" s="3" t="s">
        <v>1</v>
      </c>
      <c r="F3" s="3" t="s">
        <v>1</v>
      </c>
      <c r="G3" s="3" t="s">
        <v>268</v>
      </c>
    </row>
    <row r="4" spans="1:7" x14ac:dyDescent="0.25">
      <c r="A4" s="2" t="s">
        <v>269</v>
      </c>
      <c r="B4" s="8">
        <f>'Inputs'!C45</f>
        <v>300000</v>
      </c>
      <c r="C4" s="8">
        <f>SUM(B11)</f>
        <v>300000</v>
      </c>
      <c r="D4" s="8">
        <f>MAX(0,B4-C4)</f>
        <v>0</v>
      </c>
      <c r="G4" s="2" t="s">
        <v>270</v>
      </c>
    </row>
    <row r="5" spans="1:7" x14ac:dyDescent="0.25">
      <c r="A5" s="2" t="s">
        <v>271</v>
      </c>
      <c r="B5" s="8">
        <f>'Inputs'!C20*'Inputs'!C15</f>
        <v>104962.66666666667</v>
      </c>
      <c r="C5" s="8">
        <f>SUM(B12,B13,B14)</f>
        <v>299750</v>
      </c>
      <c r="D5" s="8">
        <f>MAX(0,B5-C5)</f>
        <v>0</v>
      </c>
      <c r="G5" s="2" t="s">
        <v>272</v>
      </c>
    </row>
    <row r="6" spans="1:7" x14ac:dyDescent="0.25">
      <c r="A6" s="2" t="s">
        <v>273</v>
      </c>
      <c r="B6" s="8">
        <f>'Inputs'!C37</f>
        <v>331224</v>
      </c>
      <c r="C6" s="8">
        <f>SUM(B15)</f>
        <v>150000</v>
      </c>
      <c r="D6" s="8">
        <f>MAX(0,B6-C6)</f>
        <v>181224</v>
      </c>
      <c r="G6" s="2" t="s">
        <v>274</v>
      </c>
    </row>
    <row r="7" spans="1:7" x14ac:dyDescent="0.25">
      <c r="A7" s="3" t="s">
        <v>275</v>
      </c>
      <c r="B7" s="12">
        <f>SUM(B4,B5,B6)</f>
        <v>736186.6666666667</v>
      </c>
      <c r="C7" s="12">
        <f>SUM(C4,C5,C6)</f>
        <v>749750</v>
      </c>
      <c r="D7" s="12">
        <f>B7-C7</f>
        <v>-13563.333333333256</v>
      </c>
      <c r="G7" s="3" t="s">
        <v>276</v>
      </c>
    </row>
    <row r="9" spans="1:7" x14ac:dyDescent="0.25">
      <c r="A9" s="4" t="s">
        <v>277</v>
      </c>
      <c r="B9" s="4"/>
      <c r="C9" s="4"/>
      <c r="D9" s="4"/>
      <c r="E9" s="4"/>
      <c r="F9" s="4"/>
      <c r="G9" s="4"/>
    </row>
    <row r="10" spans="1:7" x14ac:dyDescent="0.25">
      <c r="A10" s="3" t="s">
        <v>278</v>
      </c>
      <c r="B10" s="3" t="s">
        <v>279</v>
      </c>
      <c r="C10" s="3" t="s">
        <v>264</v>
      </c>
      <c r="D10" s="3" t="s">
        <v>280</v>
      </c>
      <c r="E10" s="3" t="s">
        <v>281</v>
      </c>
      <c r="F10" s="3" t="s">
        <v>282</v>
      </c>
      <c r="G10" s="3" t="s">
        <v>283</v>
      </c>
    </row>
    <row r="11" spans="1:7" x14ac:dyDescent="0.25">
      <c r="A11" s="2" t="s">
        <v>284</v>
      </c>
      <c r="B11" s="5">
        <v>300000</v>
      </c>
      <c r="C11" s="2" t="s">
        <v>285</v>
      </c>
      <c r="D11" s="2" t="s">
        <v>286</v>
      </c>
      <c r="E11" s="2" t="s">
        <v>287</v>
      </c>
      <c r="F11" s="2" t="s">
        <v>288</v>
      </c>
      <c r="G11" s="2" t="s">
        <v>289</v>
      </c>
    </row>
    <row r="12" spans="1:7" x14ac:dyDescent="0.25">
      <c r="A12" s="2" t="s">
        <v>290</v>
      </c>
      <c r="B12" s="5">
        <v>100000</v>
      </c>
      <c r="C12" s="2" t="s">
        <v>89</v>
      </c>
      <c r="D12" s="2" t="s">
        <v>291</v>
      </c>
      <c r="E12" s="6">
        <f>FLOOR(B12/'Inputs'!C4,1)</f>
        <v>133</v>
      </c>
      <c r="F12" s="2" t="s">
        <v>288</v>
      </c>
      <c r="G12" s="2" t="s">
        <v>292</v>
      </c>
    </row>
    <row r="13" spans="1:7" x14ac:dyDescent="0.25">
      <c r="A13" s="2" t="s">
        <v>293</v>
      </c>
      <c r="B13" s="5">
        <v>99750</v>
      </c>
      <c r="C13" s="2" t="s">
        <v>89</v>
      </c>
      <c r="D13" s="2" t="s">
        <v>291</v>
      </c>
      <c r="E13" s="6">
        <f>FLOOR(B13/'Inputs'!C4,1)</f>
        <v>133</v>
      </c>
      <c r="F13" s="2" t="s">
        <v>288</v>
      </c>
      <c r="G13" s="2" t="s">
        <v>294</v>
      </c>
    </row>
    <row r="14" spans="1:7" x14ac:dyDescent="0.25">
      <c r="A14" s="2" t="s">
        <v>295</v>
      </c>
      <c r="B14" s="5">
        <v>100000</v>
      </c>
      <c r="C14" s="2" t="s">
        <v>89</v>
      </c>
      <c r="D14" s="2" t="s">
        <v>296</v>
      </c>
      <c r="E14" s="6">
        <f>FLOOR(B14/'Inputs'!C4,1)</f>
        <v>133</v>
      </c>
      <c r="F14" s="2" t="s">
        <v>288</v>
      </c>
      <c r="G14" s="2" t="s">
        <v>297</v>
      </c>
    </row>
    <row r="15" spans="1:7" x14ac:dyDescent="0.25">
      <c r="A15" s="2" t="s">
        <v>298</v>
      </c>
      <c r="B15" s="13">
        <v>150000</v>
      </c>
      <c r="C15" s="2" t="s">
        <v>299</v>
      </c>
      <c r="D15" s="2" t="s">
        <v>296</v>
      </c>
      <c r="E15" s="2" t="s">
        <v>300</v>
      </c>
      <c r="F15" s="2" t="s">
        <v>288</v>
      </c>
      <c r="G15" s="2" t="s">
        <v>301</v>
      </c>
    </row>
    <row r="16" spans="1:7" x14ac:dyDescent="0.25">
      <c r="A16" s="2" t="s">
        <v>302</v>
      </c>
      <c r="B16" s="5">
        <v>50000</v>
      </c>
      <c r="C16" s="2" t="s">
        <v>89</v>
      </c>
      <c r="D16" s="2" t="s">
        <v>296</v>
      </c>
      <c r="E16" s="6">
        <f>FLOOR(B16/'Inputs'!C4,1)</f>
        <v>66</v>
      </c>
      <c r="F16" s="2" t="s">
        <v>303</v>
      </c>
      <c r="G16" s="2" t="s">
        <v>304</v>
      </c>
    </row>
    <row r="18" spans="1:7" x14ac:dyDescent="0.25">
      <c r="A18" s="4" t="s">
        <v>305</v>
      </c>
      <c r="B18" s="4"/>
      <c r="C18" s="4"/>
      <c r="D18" s="4"/>
      <c r="E18" s="4"/>
      <c r="F18" s="4"/>
      <c r="G18" s="4"/>
    </row>
    <row r="19" spans="1:7" x14ac:dyDescent="0.25">
      <c r="A19" s="3" t="s">
        <v>240</v>
      </c>
      <c r="B19" s="3" t="s">
        <v>306</v>
      </c>
      <c r="C19" s="3" t="s">
        <v>307</v>
      </c>
      <c r="D19" s="3" t="s">
        <v>1</v>
      </c>
      <c r="E19" s="3" t="s">
        <v>1</v>
      </c>
      <c r="F19" s="3" t="s">
        <v>1</v>
      </c>
      <c r="G19" s="3" t="s">
        <v>16</v>
      </c>
    </row>
    <row r="20" spans="1:7" x14ac:dyDescent="0.25">
      <c r="A20" s="3" t="s">
        <v>266</v>
      </c>
      <c r="B20" s="12">
        <f>SUM(B11,B12,B13,B14,B15)</f>
        <v>749750</v>
      </c>
      <c r="C20" s="12">
        <f>SUM(B11,B12,B13)</f>
        <v>499750</v>
      </c>
      <c r="G20" s="3" t="s">
        <v>308</v>
      </c>
    </row>
    <row r="21" spans="1:7" x14ac:dyDescent="0.25">
      <c r="A21" s="2" t="s">
        <v>309</v>
      </c>
      <c r="B21" s="5">
        <v>0</v>
      </c>
      <c r="C21" s="5">
        <v>0</v>
      </c>
      <c r="G21" s="2" t="s">
        <v>310</v>
      </c>
    </row>
    <row r="22" spans="1:7" x14ac:dyDescent="0.25">
      <c r="A22" s="3" t="s">
        <v>311</v>
      </c>
      <c r="B22" s="12">
        <f>B7-B20</f>
        <v>-13563.333333333256</v>
      </c>
      <c r="C22" s="12">
        <f>B7-C20</f>
        <v>236436.66666666674</v>
      </c>
      <c r="G22" s="3" t="s">
        <v>312</v>
      </c>
    </row>
    <row r="23" spans="1:7" x14ac:dyDescent="0.25">
      <c r="A23" s="3" t="s">
        <v>313</v>
      </c>
      <c r="B23" s="11">
        <f>FLOOR(SUM(B12,B13,B14)/'Inputs'!C4,1)</f>
        <v>399</v>
      </c>
      <c r="C23" s="11">
        <f>FLOOR(SUM(B12,B13)/'Inputs'!C4,1)</f>
        <v>266</v>
      </c>
      <c r="G23" s="3" t="s">
        <v>314</v>
      </c>
    </row>
    <row r="24" spans="1:7" x14ac:dyDescent="0.25">
      <c r="A24" s="3" t="s">
        <v>315</v>
      </c>
      <c r="B24" s="11">
        <f>'Inputs'!C20-C23</f>
        <v>134</v>
      </c>
      <c r="C24" s="11">
        <f>'Inputs'!C20-C23</f>
        <v>134</v>
      </c>
      <c r="G24" s="3" t="s">
        <v>316</v>
      </c>
    </row>
    <row r="25" spans="1:7" x14ac:dyDescent="0.25">
      <c r="A25" s="3" t="s">
        <v>317</v>
      </c>
      <c r="B25" s="11">
        <f>'Inputs'!C20-B23</f>
        <v>1</v>
      </c>
      <c r="C25" s="11">
        <f>'Inputs'!C20-C23</f>
        <v>134</v>
      </c>
      <c r="G25" s="3" t="s">
        <v>318</v>
      </c>
    </row>
    <row r="26" spans="1:7" x14ac:dyDescent="0.25">
      <c r="A26" s="2" t="s">
        <v>319</v>
      </c>
      <c r="B26" s="8">
        <v>181224</v>
      </c>
      <c r="G26" s="2" t="s">
        <v>320</v>
      </c>
    </row>
    <row r="27" spans="1:7" x14ac:dyDescent="0.25">
      <c r="A27" s="2" t="s">
        <v>321</v>
      </c>
      <c r="B27" s="8">
        <v>194787.3333333333</v>
      </c>
      <c r="G27" s="2" t="s">
        <v>322</v>
      </c>
    </row>
    <row r="29" spans="1:7" x14ac:dyDescent="0.25">
      <c r="A29" s="4" t="s">
        <v>323</v>
      </c>
      <c r="B29" s="4"/>
      <c r="C29" s="4"/>
      <c r="D29" s="4"/>
      <c r="E29" s="4"/>
      <c r="F29" s="4"/>
      <c r="G29" s="4"/>
    </row>
    <row r="30" spans="1:7" x14ac:dyDescent="0.25">
      <c r="A30" s="3" t="s">
        <v>240</v>
      </c>
      <c r="B30" s="3" t="s">
        <v>279</v>
      </c>
      <c r="C30" s="3" t="s">
        <v>1</v>
      </c>
      <c r="D30" s="3" t="s">
        <v>1</v>
      </c>
      <c r="E30" s="3" t="s">
        <v>1</v>
      </c>
      <c r="F30" s="3" t="s">
        <v>1</v>
      </c>
      <c r="G30" s="3" t="s">
        <v>16</v>
      </c>
    </row>
    <row r="31" spans="1:7" x14ac:dyDescent="0.25">
      <c r="A31" s="2" t="s">
        <v>324</v>
      </c>
      <c r="B31" s="8">
        <f>'Inputs'!C37</f>
        <v>331224</v>
      </c>
      <c r="G31" s="2" t="s">
        <v>325</v>
      </c>
    </row>
    <row r="32" spans="1:7" x14ac:dyDescent="0.25">
      <c r="A32" s="2" t="s">
        <v>326</v>
      </c>
      <c r="B32" s="8">
        <f>'Inputs'!C38</f>
        <v>115037.33333333333</v>
      </c>
      <c r="G32" s="2" t="s">
        <v>327</v>
      </c>
    </row>
    <row r="33" spans="1:7" x14ac:dyDescent="0.25">
      <c r="A33" s="3" t="s">
        <v>162</v>
      </c>
      <c r="B33" s="12">
        <f>'Inputs'!C39</f>
        <v>136186.6666666667</v>
      </c>
      <c r="G33" s="3" t="s">
        <v>328</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
  <sheetViews>
    <sheetView workbookViewId="0">
      <pane ySplit="2" topLeftCell="A3" activePane="bottomLeft" state="frozen"/>
      <selection pane="bottomLeft"/>
    </sheetView>
  </sheetViews>
  <sheetFormatPr defaultRowHeight="15" outlineLevelRow="0" outlineLevelCol="0" x14ac:dyDescent="55"/>
  <cols>
    <col min="1" max="1" width="40" customWidth="1"/>
    <col min="2" max="13" width="12" customWidth="1"/>
    <col min="14" max="14" width="14" customWidth="1"/>
    <col min="15" max="15" width="56" customWidth="1"/>
  </cols>
  <sheetData>
    <row r="1" spans="1:1" x14ac:dyDescent="0.25">
      <c r="A1" s="1" t="s">
        <v>329</v>
      </c>
    </row>
    <row r="2" spans="1:15" x14ac:dyDescent="0.25">
      <c r="A2" s="3" t="s">
        <v>240</v>
      </c>
      <c r="B2" s="3" t="s">
        <v>330</v>
      </c>
      <c r="C2" s="3" t="s">
        <v>331</v>
      </c>
      <c r="D2" s="3" t="s">
        <v>332</v>
      </c>
      <c r="E2" s="3" t="s">
        <v>333</v>
      </c>
      <c r="F2" s="3" t="s">
        <v>334</v>
      </c>
      <c r="G2" s="3" t="s">
        <v>335</v>
      </c>
      <c r="H2" s="3" t="s">
        <v>336</v>
      </c>
      <c r="I2" s="3" t="s">
        <v>337</v>
      </c>
      <c r="J2" s="3" t="s">
        <v>338</v>
      </c>
      <c r="K2" s="3" t="s">
        <v>339</v>
      </c>
      <c r="L2" s="3" t="s">
        <v>340</v>
      </c>
      <c r="M2" s="3" t="s">
        <v>341</v>
      </c>
      <c r="N2" s="3" t="s">
        <v>342</v>
      </c>
      <c r="O2" s="3" t="s">
        <v>16</v>
      </c>
    </row>
    <row r="3" spans="1:15" x14ac:dyDescent="0.25">
      <c r="A3" s="4" t="s">
        <v>343</v>
      </c>
      <c r="B3" s="4"/>
      <c r="C3" s="4"/>
      <c r="D3" s="4"/>
      <c r="E3" s="4"/>
      <c r="F3" s="4"/>
      <c r="G3" s="4"/>
      <c r="H3" s="4"/>
      <c r="I3" s="4"/>
      <c r="J3" s="4"/>
      <c r="K3" s="4"/>
      <c r="L3" s="4"/>
      <c r="M3" s="4"/>
      <c r="N3" s="4"/>
      <c r="O3" s="4"/>
    </row>
    <row r="4" spans="1:15" x14ac:dyDescent="0.25">
      <c r="A4" s="2" t="s">
        <v>344</v>
      </c>
      <c r="B4" s="5">
        <v>0</v>
      </c>
      <c r="C4" s="5">
        <v>0</v>
      </c>
      <c r="D4" s="5">
        <v>0</v>
      </c>
      <c r="E4" s="5">
        <v>0</v>
      </c>
      <c r="F4" s="5">
        <v>0</v>
      </c>
      <c r="G4" s="5">
        <v>300000</v>
      </c>
      <c r="H4" s="5">
        <v>0</v>
      </c>
      <c r="I4" s="5">
        <v>0</v>
      </c>
      <c r="J4" s="5">
        <v>0</v>
      </c>
      <c r="K4" s="5">
        <v>0</v>
      </c>
      <c r="L4" s="5">
        <v>0</v>
      </c>
      <c r="M4" s="5">
        <v>0</v>
      </c>
      <c r="N4" s="5">
        <f>SUM(B4:M4)</f>
        <v>300000</v>
      </c>
      <c r="O4" s="2" t="s">
        <v>345</v>
      </c>
    </row>
    <row r="5" spans="1:15" x14ac:dyDescent="0.25">
      <c r="A5" s="2" t="s">
        <v>346</v>
      </c>
      <c r="B5" s="5">
        <v>0</v>
      </c>
      <c r="C5" s="5">
        <v>0</v>
      </c>
      <c r="D5" s="5">
        <v>0</v>
      </c>
      <c r="E5" s="5">
        <v>0</v>
      </c>
      <c r="F5" s="5">
        <v>0</v>
      </c>
      <c r="G5" s="5">
        <v>99750</v>
      </c>
      <c r="H5" s="5">
        <v>0</v>
      </c>
      <c r="I5" s="5">
        <v>0</v>
      </c>
      <c r="J5" s="5">
        <v>0</v>
      </c>
      <c r="K5" s="5">
        <v>0</v>
      </c>
      <c r="L5" s="5">
        <v>0</v>
      </c>
      <c r="M5" s="5">
        <v>0</v>
      </c>
      <c r="N5" s="5">
        <f>SUM(B5:M5)</f>
        <v>99750</v>
      </c>
      <c r="O5" s="2" t="s">
        <v>347</v>
      </c>
    </row>
    <row r="6" spans="1:15" x14ac:dyDescent="0.25">
      <c r="A6" s="2" t="s">
        <v>348</v>
      </c>
      <c r="B6" s="5">
        <v>0</v>
      </c>
      <c r="C6" s="5">
        <v>0</v>
      </c>
      <c r="D6" s="5">
        <v>0</v>
      </c>
      <c r="E6" s="5">
        <v>0</v>
      </c>
      <c r="F6" s="5">
        <v>0</v>
      </c>
      <c r="G6" s="5">
        <v>0</v>
      </c>
      <c r="H6" s="5">
        <v>0</v>
      </c>
      <c r="I6" s="5">
        <v>0</v>
      </c>
      <c r="J6" s="5">
        <v>0</v>
      </c>
      <c r="K6" s="5">
        <v>0</v>
      </c>
      <c r="L6" s="5">
        <v>0</v>
      </c>
      <c r="M6" s="5">
        <v>0</v>
      </c>
      <c r="N6" s="5">
        <f>SUM(B6:M6)</f>
        <v>0</v>
      </c>
      <c r="O6" s="2" t="s">
        <v>349</v>
      </c>
    </row>
    <row r="7" spans="1:15" x14ac:dyDescent="0.25">
      <c r="A7" s="2" t="s">
        <v>350</v>
      </c>
      <c r="B7" s="5">
        <v>0</v>
      </c>
      <c r="C7" s="5">
        <v>0</v>
      </c>
      <c r="D7" s="5">
        <v>0</v>
      </c>
      <c r="E7" s="5">
        <v>0</v>
      </c>
      <c r="F7" s="5">
        <v>0</v>
      </c>
      <c r="G7" s="5">
        <v>100000</v>
      </c>
      <c r="H7" s="5">
        <v>0</v>
      </c>
      <c r="I7" s="5">
        <v>0</v>
      </c>
      <c r="J7" s="5">
        <v>0</v>
      </c>
      <c r="K7" s="5">
        <v>0</v>
      </c>
      <c r="L7" s="5">
        <v>0</v>
      </c>
      <c r="M7" s="5">
        <v>0</v>
      </c>
      <c r="N7" s="5">
        <f>SUM(B7:M7)</f>
        <v>100000</v>
      </c>
      <c r="O7" s="2" t="s">
        <v>351</v>
      </c>
    </row>
    <row r="8" spans="1:15" x14ac:dyDescent="0.25">
      <c r="A8" s="2" t="s">
        <v>352</v>
      </c>
      <c r="B8" s="5">
        <v>0</v>
      </c>
      <c r="C8" s="5">
        <v>0</v>
      </c>
      <c r="D8" s="5">
        <v>0</v>
      </c>
      <c r="E8" s="5">
        <v>0</v>
      </c>
      <c r="F8" s="5">
        <v>0</v>
      </c>
      <c r="G8" s="5">
        <v>150000</v>
      </c>
      <c r="H8" s="5">
        <v>0</v>
      </c>
      <c r="I8" s="5">
        <v>0</v>
      </c>
      <c r="J8" s="5">
        <v>0</v>
      </c>
      <c r="K8" s="5">
        <v>0</v>
      </c>
      <c r="L8" s="5">
        <v>0</v>
      </c>
      <c r="M8" s="5">
        <v>0</v>
      </c>
      <c r="N8" s="5">
        <f>SUM(B8:M8)</f>
        <v>150000</v>
      </c>
      <c r="O8" s="2" t="s">
        <v>353</v>
      </c>
    </row>
    <row r="9" spans="1:15" x14ac:dyDescent="0.25">
      <c r="A9" s="2" t="s">
        <v>354</v>
      </c>
      <c r="B9" s="5">
        <f>SUM('Inputs'!C57)</f>
        <v>30000</v>
      </c>
      <c r="C9" s="5">
        <f>SUM('Inputs'!C58)</f>
        <v>80000</v>
      </c>
      <c r="D9" s="5">
        <v>0</v>
      </c>
      <c r="E9" s="5">
        <v>0</v>
      </c>
      <c r="F9" s="5">
        <v>0</v>
      </c>
      <c r="G9" s="5">
        <v>0</v>
      </c>
      <c r="H9" s="5">
        <v>0</v>
      </c>
      <c r="I9" s="5">
        <v>0</v>
      </c>
      <c r="J9" s="5">
        <v>0</v>
      </c>
      <c r="K9" s="5">
        <v>0</v>
      </c>
      <c r="L9" s="5">
        <v>0</v>
      </c>
      <c r="M9" s="5">
        <v>0</v>
      </c>
      <c r="N9" s="5">
        <f>SUM(B9:M9)</f>
        <v>110000</v>
      </c>
      <c r="O9" s="2" t="s">
        <v>355</v>
      </c>
    </row>
    <row r="10" spans="1:15" x14ac:dyDescent="0.25">
      <c r="A10" s="3" t="s">
        <v>356</v>
      </c>
      <c r="B10" s="12">
        <f>SUM(B4:B9)</f>
        <v>30000</v>
      </c>
      <c r="C10" s="12">
        <f>SUM(C4:C9)</f>
        <v>80000</v>
      </c>
      <c r="D10" s="12">
        <f>SUM(D4:D9)</f>
        <v>0</v>
      </c>
      <c r="E10" s="12">
        <f>SUM(E4:E9)</f>
        <v>0</v>
      </c>
      <c r="F10" s="12">
        <f>SUM(F4:F9)</f>
        <v>0</v>
      </c>
      <c r="G10" s="12">
        <f>SUM(G4:G9)</f>
        <v>649750</v>
      </c>
      <c r="H10" s="12">
        <f>SUM(H4:H9)</f>
        <v>0</v>
      </c>
      <c r="I10" s="12">
        <f>SUM(I4:I9)</f>
        <v>0</v>
      </c>
      <c r="J10" s="12">
        <f>SUM(J4:J9)</f>
        <v>0</v>
      </c>
      <c r="K10" s="12">
        <f>SUM(K4:K9)</f>
        <v>0</v>
      </c>
      <c r="L10" s="12">
        <f>SUM(L4:L9)</f>
        <v>0</v>
      </c>
      <c r="M10" s="12">
        <f>SUM(M4:M9)</f>
        <v>0</v>
      </c>
      <c r="N10" s="12">
        <f>SUM(B10:M10)</f>
        <v>609750</v>
      </c>
      <c r="O10" s="3" t="s">
        <v>357</v>
      </c>
    </row>
    <row r="11" spans="1:15" x14ac:dyDescent="0.25">
      <c r="A11" s="4" t="s">
        <v>358</v>
      </c>
      <c r="B11" s="4"/>
      <c r="C11" s="4"/>
      <c r="D11" s="4"/>
      <c r="E11" s="4"/>
      <c r="F11" s="4"/>
      <c r="G11" s="4"/>
      <c r="H11" s="4"/>
      <c r="I11" s="4"/>
      <c r="J11" s="4"/>
      <c r="K11" s="4"/>
      <c r="L11" s="4"/>
      <c r="M11" s="4"/>
      <c r="N11" s="4"/>
      <c r="O11" s="4"/>
    </row>
    <row r="12" spans="1:15" x14ac:dyDescent="0.25">
      <c r="A12" s="2" t="s">
        <v>359</v>
      </c>
      <c r="B12" s="8">
        <v>0</v>
      </c>
      <c r="C12" s="8">
        <v>0</v>
      </c>
      <c r="D12" s="8">
        <v>0</v>
      </c>
      <c r="E12" s="8">
        <v>0</v>
      </c>
      <c r="F12" s="8">
        <v>0</v>
      </c>
      <c r="G12" s="8">
        <f>'Inputs'!C45</f>
        <v>300000</v>
      </c>
      <c r="H12" s="8">
        <v>0</v>
      </c>
      <c r="I12" s="8">
        <v>0</v>
      </c>
      <c r="J12" s="8">
        <v>0</v>
      </c>
      <c r="K12" s="8">
        <v>0</v>
      </c>
      <c r="L12" s="8">
        <v>0</v>
      </c>
      <c r="M12" s="8">
        <v>0</v>
      </c>
      <c r="N12" s="8">
        <f>SUM(B12:M12)</f>
        <v>300000</v>
      </c>
      <c r="O12" s="2" t="s">
        <v>360</v>
      </c>
    </row>
    <row r="13" spans="1:15" x14ac:dyDescent="0.25">
      <c r="A13" s="2" t="s">
        <v>361</v>
      </c>
      <c r="B13" s="8">
        <v>0</v>
      </c>
      <c r="C13" s="8">
        <v>0</v>
      </c>
      <c r="D13" s="8">
        <v>0</v>
      </c>
      <c r="E13" s="8">
        <v>0</v>
      </c>
      <c r="F13" s="8">
        <v>0</v>
      </c>
      <c r="G13" s="8">
        <v>0</v>
      </c>
      <c r="H13" s="8">
        <f>'Inputs'!C50*'Inputs'!C15</f>
        <v>25191.04</v>
      </c>
      <c r="I13" s="8">
        <f>'Inputs'!C50*'Inputs'!C15</f>
        <v>25191.04</v>
      </c>
      <c r="J13" s="8">
        <f>'Inputs'!C50*'Inputs'!C15</f>
        <v>25191.04</v>
      </c>
      <c r="K13" s="8">
        <f>'Inputs'!C50*'Inputs'!C15</f>
        <v>25191.04</v>
      </c>
      <c r="L13" s="8">
        <f>('Inputs'!C20-4*'Inputs'!C50)*'Inputs'!C15</f>
        <v>4198.506666666667</v>
      </c>
      <c r="M13" s="8">
        <v>0</v>
      </c>
      <c r="N13" s="8">
        <f>SUM(B13:M13)</f>
        <v>104962.66666666667</v>
      </c>
      <c r="O13" s="2" t="s">
        <v>362</v>
      </c>
    </row>
    <row r="14" spans="1:15" x14ac:dyDescent="0.25">
      <c r="A14" s="2" t="s">
        <v>363</v>
      </c>
      <c r="B14" s="8">
        <f>'Inputs'!C28/'Inputs'!C24</f>
        <v>3333.3333333333335</v>
      </c>
      <c r="C14" s="8">
        <f>'Inputs'!C28/'Inputs'!C24</f>
        <v>3333.3333333333335</v>
      </c>
      <c r="D14" s="8">
        <f>'Inputs'!C28/'Inputs'!C24</f>
        <v>3333.3333333333335</v>
      </c>
      <c r="E14" s="8">
        <f>'Inputs'!C28/'Inputs'!C24</f>
        <v>3333.3333333333335</v>
      </c>
      <c r="F14" s="8">
        <f>'Inputs'!C28/'Inputs'!C24</f>
        <v>3333.3333333333335</v>
      </c>
      <c r="G14" s="8">
        <f>'Inputs'!C28/'Inputs'!C24</f>
        <v>3333.3333333333335</v>
      </c>
      <c r="H14" s="8">
        <f>'Inputs'!C28/'Inputs'!C24</f>
        <v>3333.3333333333335</v>
      </c>
      <c r="I14" s="8">
        <f>'Inputs'!C28/'Inputs'!C24</f>
        <v>3333.3333333333335</v>
      </c>
      <c r="J14" s="8">
        <f>'Inputs'!C28/'Inputs'!C24</f>
        <v>3333.3333333333335</v>
      </c>
      <c r="K14" s="8">
        <f>'Inputs'!C28/'Inputs'!C24</f>
        <v>3333.3333333333335</v>
      </c>
      <c r="L14" s="8">
        <f>'Inputs'!C28/'Inputs'!C24</f>
        <v>3333.3333333333335</v>
      </c>
      <c r="M14" s="8">
        <f>'Inputs'!C28/'Inputs'!C24</f>
        <v>3333.3333333333335</v>
      </c>
      <c r="N14" s="8">
        <f>SUM(B14:M14)</f>
        <v>40000</v>
      </c>
      <c r="O14" s="2" t="s">
        <v>364</v>
      </c>
    </row>
    <row r="15" spans="1:15" x14ac:dyDescent="0.25">
      <c r="A15" s="2" t="s">
        <v>123</v>
      </c>
      <c r="B15" s="8">
        <f>'Inputs'!C36/'Inputs'!C24</f>
        <v>20935.333333333332</v>
      </c>
      <c r="C15" s="8">
        <f>'Inputs'!C36/'Inputs'!C24</f>
        <v>20935.333333333332</v>
      </c>
      <c r="D15" s="8">
        <f>'Inputs'!C36/'Inputs'!C24</f>
        <v>20935.333333333332</v>
      </c>
      <c r="E15" s="8">
        <f>'Inputs'!C36/'Inputs'!C24</f>
        <v>20935.333333333332</v>
      </c>
      <c r="F15" s="8">
        <f>'Inputs'!C36/'Inputs'!C24</f>
        <v>20935.333333333332</v>
      </c>
      <c r="G15" s="8">
        <f>'Inputs'!C36/'Inputs'!C24</f>
        <v>20935.333333333332</v>
      </c>
      <c r="H15" s="8">
        <f>'Inputs'!C36/'Inputs'!C24</f>
        <v>20935.333333333332</v>
      </c>
      <c r="I15" s="8">
        <f>'Inputs'!C36/'Inputs'!C24</f>
        <v>20935.333333333332</v>
      </c>
      <c r="J15" s="8">
        <f>'Inputs'!C36/'Inputs'!C24</f>
        <v>20935.333333333332</v>
      </c>
      <c r="K15" s="8">
        <f>'Inputs'!C36/'Inputs'!C24</f>
        <v>20935.333333333332</v>
      </c>
      <c r="L15" s="8">
        <f>'Inputs'!C36/'Inputs'!C24</f>
        <v>20935.333333333332</v>
      </c>
      <c r="M15" s="8">
        <f>'Inputs'!C36/'Inputs'!C24</f>
        <v>20935.333333333332</v>
      </c>
      <c r="N15" s="8">
        <f>SUM(B15:M15)</f>
        <v>251224</v>
      </c>
      <c r="O15" s="2" t="s">
        <v>365</v>
      </c>
    </row>
    <row r="16" spans="1:15" x14ac:dyDescent="0.25">
      <c r="A16" s="2" t="s">
        <v>366</v>
      </c>
      <c r="B16" s="8">
        <v>0</v>
      </c>
      <c r="C16" s="8">
        <v>0</v>
      </c>
      <c r="D16" s="8">
        <v>0</v>
      </c>
      <c r="E16" s="8">
        <v>0</v>
      </c>
      <c r="F16" s="8">
        <v>0</v>
      </c>
      <c r="G16" s="8">
        <v>0</v>
      </c>
      <c r="H16" s="8">
        <f>'Inputs'!C50*'Inputs'!C16</f>
        <v>9600</v>
      </c>
      <c r="I16" s="8">
        <f>'Inputs'!C50*'Inputs'!C16</f>
        <v>9600</v>
      </c>
      <c r="J16" s="8">
        <f>'Inputs'!C50*'Inputs'!C16</f>
        <v>9600</v>
      </c>
      <c r="K16" s="8">
        <f>'Inputs'!C50*'Inputs'!C16</f>
        <v>9600</v>
      </c>
      <c r="L16" s="8">
        <f>('Inputs'!C20-4*'Inputs'!C50)*'Inputs'!C16</f>
        <v>1600</v>
      </c>
      <c r="M16" s="8">
        <v>0</v>
      </c>
      <c r="N16" s="8">
        <f>SUM(B16:M16)</f>
        <v>40000</v>
      </c>
      <c r="O16" s="2" t="s">
        <v>367</v>
      </c>
    </row>
    <row r="17" spans="1:15" x14ac:dyDescent="0.25">
      <c r="A17" s="3" t="s">
        <v>368</v>
      </c>
      <c r="B17" s="12">
        <f>SUM(B12:B16)</f>
        <v>24268.666666666664</v>
      </c>
      <c r="C17" s="12">
        <f>SUM(C12:C16)</f>
        <v>24268.666666666664</v>
      </c>
      <c r="D17" s="12">
        <f>SUM(D12:D16)</f>
        <v>24268.666666666664</v>
      </c>
      <c r="E17" s="12">
        <f>SUM(E12:E16)</f>
        <v>24268.666666666664</v>
      </c>
      <c r="F17" s="12">
        <f>SUM(F12:F16)</f>
        <v>24268.666666666664</v>
      </c>
      <c r="G17" s="12">
        <f>SUM(G12:G16)</f>
        <v>324268.6666666666</v>
      </c>
      <c r="H17" s="12">
        <f>SUM(H12:H16)</f>
        <v>59059.706666666665</v>
      </c>
      <c r="I17" s="12">
        <f>SUM(I12:I16)</f>
        <v>59059.706666666665</v>
      </c>
      <c r="J17" s="12">
        <f>SUM(J12:J16)</f>
        <v>59059.706666666665</v>
      </c>
      <c r="K17" s="12">
        <f>SUM(K12:K16)</f>
        <v>59059.706666666665</v>
      </c>
      <c r="L17" s="12">
        <f>SUM(L12:L16)</f>
        <v>30067.173333333332</v>
      </c>
      <c r="M17" s="12">
        <f>SUM(M12:M16)</f>
        <v>24268.666666666664</v>
      </c>
      <c r="N17" s="12">
        <f>SUM(B17:M17)</f>
        <v>736186.6666666667</v>
      </c>
      <c r="O17" s="3" t="s">
        <v>369</v>
      </c>
    </row>
    <row r="19" spans="1:15" x14ac:dyDescent="0.25">
      <c r="A19" s="3" t="s">
        <v>370</v>
      </c>
      <c r="B19" s="12">
        <f>B10-B17</f>
        <v>5731.333333333336</v>
      </c>
      <c r="C19" s="12">
        <f>C10-C17</f>
        <v>55731.333333333336</v>
      </c>
      <c r="D19" s="12">
        <f>D10-D17</f>
        <v>-24268.666666666664</v>
      </c>
      <c r="E19" s="12">
        <f>E10-E17</f>
        <v>-24268.666666666664</v>
      </c>
      <c r="F19" s="12">
        <f>F10-F17</f>
        <v>-24268.666666666664</v>
      </c>
      <c r="G19" s="12">
        <f>G10-G17</f>
        <v>325481.3333333334</v>
      </c>
      <c r="H19" s="12">
        <f>H10-H17</f>
        <v>-59059.706666666665</v>
      </c>
      <c r="I19" s="12">
        <f>I10-I17</f>
        <v>-59059.706666666665</v>
      </c>
      <c r="J19" s="12">
        <f>J10-J17</f>
        <v>-59059.706666666665</v>
      </c>
      <c r="K19" s="12">
        <f>K10-K17</f>
        <v>-59059.706666666665</v>
      </c>
      <c r="L19" s="12">
        <f>L10-L17</f>
        <v>-30067.173333333332</v>
      </c>
      <c r="M19" s="12">
        <f>M10-M17</f>
        <v>-24268.666666666664</v>
      </c>
      <c r="N19" s="12">
        <f>SUM(B19:M19)</f>
        <v>23563.3333333334</v>
      </c>
      <c r="O19" s="3" t="s">
        <v>371</v>
      </c>
    </row>
    <row r="20" spans="1:15" x14ac:dyDescent="0.25">
      <c r="A20" s="2" t="s">
        <v>372</v>
      </c>
      <c r="B20" s="8">
        <f>'Inputs'!C60</f>
        <v>4041</v>
      </c>
      <c r="C20" s="8">
        <f>B21</f>
        <v>9772.333333333336</v>
      </c>
      <c r="D20" s="8">
        <f>C21</f>
        <v>65503.66666666668</v>
      </c>
      <c r="E20" s="8">
        <f>D21</f>
        <v>41235.000000000015</v>
      </c>
      <c r="F20" s="8">
        <f>E21</f>
        <v>16966.33333333335</v>
      </c>
      <c r="G20" s="8">
        <f>F21</f>
        <v>-7302.333333333314</v>
      </c>
      <c r="H20" s="8">
        <f>G21</f>
        <v>318179.0000000001</v>
      </c>
      <c r="I20" s="8">
        <f>H21</f>
        <v>259119.29333333345</v>
      </c>
      <c r="J20" s="8">
        <f>I21</f>
        <v>200059.5866666668</v>
      </c>
      <c r="K20" s="8">
        <f>J21</f>
        <v>140999.88000000012</v>
      </c>
      <c r="L20" s="8">
        <f>K21</f>
        <v>81940.17333333346</v>
      </c>
      <c r="M20" s="8">
        <f>L21</f>
        <v>51873.000000000124</v>
      </c>
      <c r="O20" s="2" t="s">
        <v>373</v>
      </c>
    </row>
    <row r="21" spans="1:15" x14ac:dyDescent="0.25">
      <c r="A21" s="3" t="s">
        <v>374</v>
      </c>
      <c r="B21" s="12">
        <f>B20+B19</f>
        <v>9772.333333333336</v>
      </c>
      <c r="C21" s="12">
        <f>C20+C19</f>
        <v>65503.66666666668</v>
      </c>
      <c r="D21" s="12">
        <f>D20+D19</f>
        <v>41235.000000000015</v>
      </c>
      <c r="E21" s="12">
        <f>E20+E19</f>
        <v>16966.33333333335</v>
      </c>
      <c r="F21" s="12">
        <f>F20+F19</f>
        <v>-7302.333333333314</v>
      </c>
      <c r="G21" s="12">
        <f>G20+G19</f>
        <v>318179.0000000001</v>
      </c>
      <c r="H21" s="12">
        <f>H20+H19</f>
        <v>259119.29333333345</v>
      </c>
      <c r="I21" s="12">
        <f>I20+I19</f>
        <v>200059.5866666668</v>
      </c>
      <c r="J21" s="12">
        <f>J20+J19</f>
        <v>140999.88000000012</v>
      </c>
      <c r="K21" s="12">
        <f>K20+K19</f>
        <v>81940.17333333346</v>
      </c>
      <c r="L21" s="12">
        <f>L20+L19</f>
        <v>51873.000000000124</v>
      </c>
      <c r="M21" s="12">
        <f>M20+M19</f>
        <v>27604.33333333346</v>
      </c>
      <c r="O21" s="3" t="s">
        <v>375</v>
      </c>
    </row>
    <row r="22" spans="1:15" x14ac:dyDescent="0.25">
      <c r="A22" s="3" t="s">
        <v>376</v>
      </c>
      <c r="M22" s="14">
        <f>M21/('Inputs'!C36/'Inputs'!C24)</f>
        <v>1.3185523676081965</v>
      </c>
      <c r="O22" s="3" t="s">
        <v>377</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
  <sheetViews>
    <sheetView workbookViewId="0">
      <pane ySplit="2" topLeftCell="A3" activePane="bottomLeft" state="frozen"/>
      <selection pane="bottomLeft"/>
    </sheetView>
  </sheetViews>
  <sheetFormatPr defaultRowHeight="15" outlineLevelRow="0" outlineLevelCol="0" x14ac:dyDescent="55"/>
  <cols>
    <col min="1" max="1" width="40" customWidth="1"/>
    <col min="2" max="4" width="16" customWidth="1"/>
    <col min="5" max="5" width="60" customWidth="1"/>
  </cols>
  <sheetData>
    <row r="1" spans="1:1" x14ac:dyDescent="0.25">
      <c r="A1" s="1" t="s">
        <v>378</v>
      </c>
    </row>
    <row r="2" spans="1:5" x14ac:dyDescent="0.25">
      <c r="A2" s="3" t="s">
        <v>240</v>
      </c>
      <c r="B2" s="3" t="s">
        <v>379</v>
      </c>
      <c r="C2" s="3" t="s">
        <v>380</v>
      </c>
      <c r="D2" s="3" t="s">
        <v>381</v>
      </c>
      <c r="E2" s="3" t="s">
        <v>16</v>
      </c>
    </row>
    <row r="3" spans="1:5" x14ac:dyDescent="0.25">
      <c r="A3" s="2" t="s">
        <v>382</v>
      </c>
      <c r="B3" s="6">
        <v>0</v>
      </c>
      <c r="C3" s="6">
        <v>2</v>
      </c>
      <c r="D3" s="6">
        <v>3</v>
      </c>
      <c r="E3" s="2" t="s">
        <v>383</v>
      </c>
    </row>
    <row r="4" spans="1:5" x14ac:dyDescent="0.25">
      <c r="A4" s="2" t="s">
        <v>384</v>
      </c>
      <c r="B4" s="9">
        <v>1152</v>
      </c>
      <c r="C4" s="9">
        <v>1552</v>
      </c>
      <c r="D4" s="9">
        <v>2792</v>
      </c>
      <c r="E4" s="2" t="s">
        <v>385</v>
      </c>
    </row>
    <row r="5" spans="1:5" x14ac:dyDescent="0.25">
      <c r="A5" s="2" t="s">
        <v>386</v>
      </c>
      <c r="B5" s="6">
        <v>400</v>
      </c>
      <c r="C5" s="6">
        <v>874</v>
      </c>
      <c r="D5" s="6">
        <v>900</v>
      </c>
      <c r="E5" s="2" t="s">
        <v>387</v>
      </c>
    </row>
    <row r="6" spans="1:5" x14ac:dyDescent="0.25">
      <c r="A6" s="2" t="s">
        <v>388</v>
      </c>
      <c r="B6" s="8">
        <v>115037.33333333333</v>
      </c>
      <c r="C6" s="8">
        <v>251356.5733333333</v>
      </c>
      <c r="D6" s="8">
        <v>258833.99999999997</v>
      </c>
      <c r="E6" s="2" t="s">
        <v>389</v>
      </c>
    </row>
    <row r="7" spans="1:5" x14ac:dyDescent="0.25">
      <c r="A7" s="2" t="s">
        <v>123</v>
      </c>
      <c r="B7" s="8">
        <v>251224</v>
      </c>
      <c r="C7" s="8">
        <v>251224</v>
      </c>
      <c r="D7" s="8">
        <v>251224</v>
      </c>
      <c r="E7" s="2" t="s">
        <v>390</v>
      </c>
    </row>
    <row r="8" spans="1:5" x14ac:dyDescent="0.25">
      <c r="A8" s="2" t="s">
        <v>391</v>
      </c>
      <c r="B8" s="9">
        <v>46</v>
      </c>
      <c r="C8" s="9">
        <v>100</v>
      </c>
      <c r="D8" s="9">
        <v>103</v>
      </c>
      <c r="E8" s="2" t="s">
        <v>392</v>
      </c>
    </row>
    <row r="9" spans="1:5" x14ac:dyDescent="0.25">
      <c r="A9" s="2" t="s">
        <v>393</v>
      </c>
      <c r="B9" s="5">
        <v>100000</v>
      </c>
      <c r="C9" s="5">
        <v>100000</v>
      </c>
      <c r="D9" s="5">
        <v>100000</v>
      </c>
      <c r="E9" s="2" t="s">
        <v>394</v>
      </c>
    </row>
    <row r="10" spans="1:5" x14ac:dyDescent="0.25">
      <c r="A10" s="2" t="s">
        <v>395</v>
      </c>
      <c r="B10" s="8">
        <v>136186.6666666667</v>
      </c>
      <c r="C10" s="8">
        <v>-132.57333333330462</v>
      </c>
      <c r="D10" s="8">
        <v>-7609.999999999971</v>
      </c>
      <c r="E10" s="2" t="s">
        <v>396</v>
      </c>
    </row>
    <row r="11" spans="1:5" x14ac:dyDescent="0.25">
      <c r="A11" s="3" t="s">
        <v>397</v>
      </c>
      <c r="B11" s="12">
        <v>-36186.666666666686</v>
      </c>
      <c r="C11" s="12">
        <v>100132.5733333333</v>
      </c>
      <c r="D11" s="12">
        <v>107610</v>
      </c>
      <c r="E11" s="3" t="s">
        <v>398</v>
      </c>
    </row>
    <row r="13" spans="1:5" x14ac:dyDescent="0.25">
      <c r="A13" s="3" t="s">
        <v>399</v>
      </c>
      <c r="B13" s="11">
        <v>874</v>
      </c>
      <c r="E13" s="3" t="s">
        <v>400</v>
      </c>
    </row>
    <row r="14" spans="1:5" x14ac:dyDescent="0.25">
      <c r="A14" s="2" t="s">
        <v>401</v>
      </c>
      <c r="B14" s="8">
        <v>300000</v>
      </c>
      <c r="E14" s="2" t="s">
        <v>402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
  <sheetViews>
    <sheetView workbookViewId="0">
      <pane ySplit="2" topLeftCell="A3" activePane="bottomLeft" state="frozen"/>
      <selection pane="bottomLeft"/>
    </sheetView>
  </sheetViews>
  <sheetFormatPr defaultRowHeight="15" outlineLevelRow="0" outlineLevelCol="0" x14ac:dyDescent="55"/>
  <cols>
    <col min="1" max="1" width="44" customWidth="1"/>
    <col min="2" max="2" width="16" customWidth="1"/>
    <col min="3" max="3" width="14" customWidth="1"/>
    <col min="4" max="4" width="8" customWidth="1"/>
    <col min="5" max="5" width="60" customWidth="1"/>
  </cols>
  <sheetData>
    <row r="1" spans="1:1" x14ac:dyDescent="0.25">
      <c r="A1" s="1" t="s">
        <v>403</v>
      </c>
    </row>
    <row r="2" spans="1:5" x14ac:dyDescent="0.25">
      <c r="A2" s="3" t="s">
        <v>404</v>
      </c>
      <c r="B2" s="3" t="s">
        <v>279</v>
      </c>
      <c r="C2" s="3" t="s">
        <v>15</v>
      </c>
      <c r="D2" s="3" t="s">
        <v>405</v>
      </c>
      <c r="E2" s="3" t="s">
        <v>406</v>
      </c>
    </row>
    <row r="3" spans="1:5" x14ac:dyDescent="0.25">
      <c r="A3" s="2" t="s">
        <v>407</v>
      </c>
      <c r="C3" s="2" t="s">
        <v>408</v>
      </c>
      <c r="D3" s="2" t="s">
        <v>409</v>
      </c>
      <c r="E3" s="2" t="s">
        <v>410</v>
      </c>
    </row>
    <row r="4" spans="1:5" x14ac:dyDescent="0.25">
      <c r="A4" s="2" t="s">
        <v>411</v>
      </c>
      <c r="C4" s="2" t="s">
        <v>408</v>
      </c>
      <c r="D4" s="2" t="s">
        <v>409</v>
      </c>
      <c r="E4" s="2" t="s">
        <v>412</v>
      </c>
    </row>
    <row r="5" spans="1:5" x14ac:dyDescent="0.25">
      <c r="A5" s="2" t="s">
        <v>413</v>
      </c>
      <c r="C5" s="2" t="s">
        <v>408</v>
      </c>
      <c r="D5" s="2" t="s">
        <v>409</v>
      </c>
      <c r="E5" s="2" t="s">
        <v>414</v>
      </c>
    </row>
    <row r="6" spans="1:5" x14ac:dyDescent="0.25">
      <c r="A6" s="2" t="s">
        <v>415</v>
      </c>
      <c r="C6" s="2" t="s">
        <v>408</v>
      </c>
      <c r="D6" s="2" t="s">
        <v>409</v>
      </c>
      <c r="E6" s="2" t="s">
        <v>416</v>
      </c>
    </row>
    <row r="7" spans="1:5" x14ac:dyDescent="0.25">
      <c r="A7" s="2" t="s">
        <v>417</v>
      </c>
      <c r="C7" s="2" t="s">
        <v>408</v>
      </c>
      <c r="D7" s="2" t="s">
        <v>409</v>
      </c>
      <c r="E7" s="2" t="s">
        <v>418</v>
      </c>
    </row>
    <row r="8" spans="1:5" x14ac:dyDescent="0.25">
      <c r="A8" s="2" t="s">
        <v>419</v>
      </c>
      <c r="C8" s="2" t="s">
        <v>408</v>
      </c>
      <c r="D8" s="2" t="s">
        <v>409</v>
      </c>
      <c r="E8" s="2" t="s">
        <v>420</v>
      </c>
    </row>
    <row r="9" spans="1:5" x14ac:dyDescent="0.25">
      <c r="A9" s="3" t="s">
        <v>421</v>
      </c>
      <c r="B9" s="12">
        <v>0</v>
      </c>
      <c r="E9" s="3" t="s">
        <v>422</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7"/>
  <sheetViews>
    <sheetView workbookViewId="0">
      <pane ySplit="2" topLeftCell="A3" activePane="bottomLeft" state="frozen"/>
      <selection pane="bottomLeft"/>
    </sheetView>
  </sheetViews>
  <sheetFormatPr defaultRowHeight="15" outlineLevelRow="0" outlineLevelCol="0" x14ac:dyDescent="55"/>
  <cols>
    <col min="1" max="1" width="56" customWidth="1"/>
    <col min="2" max="2" width="34" customWidth="1"/>
    <col min="3" max="3" width="18" customWidth="1"/>
    <col min="4" max="4" width="16" customWidth="1"/>
  </cols>
  <sheetData>
    <row r="1" spans="1:1" x14ac:dyDescent="0.25">
      <c r="A1" s="1" t="s">
        <v>423</v>
      </c>
    </row>
    <row r="2" spans="1:4" x14ac:dyDescent="0.25">
      <c r="A2" s="3" t="s">
        <v>424</v>
      </c>
      <c r="B2" s="3" t="s">
        <v>425</v>
      </c>
      <c r="C2" s="3" t="s">
        <v>13</v>
      </c>
      <c r="D2" s="3" t="s">
        <v>426</v>
      </c>
    </row>
    <row r="3" spans="1:4" x14ac:dyDescent="0.25">
      <c r="A3" s="2" t="s">
        <v>427</v>
      </c>
      <c r="B3" s="2" t="s">
        <v>428</v>
      </c>
      <c r="C3" s="15">
        <v>12</v>
      </c>
      <c r="D3" s="2" t="s">
        <v>429</v>
      </c>
    </row>
    <row r="4" spans="1:4" x14ac:dyDescent="0.25">
      <c r="A4" s="2" t="s">
        <v>430</v>
      </c>
      <c r="B4" s="2" t="s">
        <v>428</v>
      </c>
      <c r="C4" s="15">
        <v>0</v>
      </c>
      <c r="D4" s="2" t="s">
        <v>429</v>
      </c>
    </row>
    <row r="5" spans="1:4" x14ac:dyDescent="0.25">
      <c r="A5" s="2" t="s">
        <v>431</v>
      </c>
      <c r="B5" s="2" t="s">
        <v>432</v>
      </c>
      <c r="C5" s="16">
        <v>-13563.333333333256</v>
      </c>
      <c r="D5" s="2" t="s">
        <v>429</v>
      </c>
    </row>
    <row r="6" spans="1:4" x14ac:dyDescent="0.25">
      <c r="A6" s="2" t="s">
        <v>433</v>
      </c>
      <c r="B6" s="2" t="s">
        <v>432</v>
      </c>
      <c r="C6" s="15">
        <v>181224</v>
      </c>
      <c r="D6" s="2" t="s">
        <v>429</v>
      </c>
    </row>
    <row r="7" spans="1:4" x14ac:dyDescent="0.25">
      <c r="A7" s="2" t="s">
        <v>434</v>
      </c>
      <c r="B7" s="2" t="s">
        <v>432</v>
      </c>
      <c r="C7" s="15">
        <v>200000</v>
      </c>
      <c r="D7" s="2" t="s">
        <v>429</v>
      </c>
    </row>
    <row r="8" spans="1:4" x14ac:dyDescent="0.25">
      <c r="A8" s="2" t="s">
        <v>435</v>
      </c>
      <c r="B8" s="2" t="s">
        <v>432</v>
      </c>
      <c r="C8" s="15">
        <v>50000</v>
      </c>
      <c r="D8" s="2" t="s">
        <v>429</v>
      </c>
    </row>
    <row r="9" spans="1:4" x14ac:dyDescent="0.25">
      <c r="A9" s="2" t="s">
        <v>436</v>
      </c>
      <c r="B9" s="2" t="s">
        <v>432</v>
      </c>
      <c r="C9" s="16">
        <v>194787.3333333333</v>
      </c>
      <c r="D9" s="2" t="s">
        <v>429</v>
      </c>
    </row>
    <row r="10" spans="1:4" x14ac:dyDescent="0.25">
      <c r="A10" s="2" t="s">
        <v>437</v>
      </c>
      <c r="B10" s="2" t="s">
        <v>438</v>
      </c>
      <c r="C10" s="15">
        <v>30000</v>
      </c>
      <c r="D10" s="2" t="s">
        <v>429</v>
      </c>
    </row>
    <row r="11" spans="1:4" x14ac:dyDescent="0.25">
      <c r="A11" s="2" t="s">
        <v>439</v>
      </c>
      <c r="B11" s="2" t="s">
        <v>438</v>
      </c>
      <c r="C11" s="15">
        <v>80000</v>
      </c>
      <c r="D11" s="2" t="s">
        <v>429</v>
      </c>
    </row>
    <row r="12" spans="1:4" x14ac:dyDescent="0.25">
      <c r="A12" s="2" t="s">
        <v>440</v>
      </c>
      <c r="B12" s="2" t="s">
        <v>438</v>
      </c>
      <c r="C12" s="15">
        <v>110000</v>
      </c>
      <c r="D12" s="2" t="s">
        <v>429</v>
      </c>
    </row>
    <row r="13" spans="1:4" x14ac:dyDescent="0.25">
      <c r="A13" s="2" t="s">
        <v>441</v>
      </c>
      <c r="B13" s="2" t="s">
        <v>442</v>
      </c>
      <c r="C13" s="15">
        <v>4041</v>
      </c>
      <c r="D13" s="2" t="s">
        <v>429</v>
      </c>
    </row>
    <row r="14" spans="1:4" x14ac:dyDescent="0.25">
      <c r="A14" s="2" t="s">
        <v>443</v>
      </c>
      <c r="B14" s="2" t="s">
        <v>444</v>
      </c>
      <c r="C14" s="16">
        <v>0.8</v>
      </c>
      <c r="D14" s="2" t="s">
        <v>429</v>
      </c>
    </row>
    <row r="15" spans="1:4" x14ac:dyDescent="0.25">
      <c r="A15" s="2" t="s">
        <v>445</v>
      </c>
      <c r="B15" s="2" t="s">
        <v>444</v>
      </c>
      <c r="C15" s="15">
        <v>20</v>
      </c>
      <c r="D15" s="2" t="s">
        <v>429</v>
      </c>
    </row>
    <row r="16" spans="1:4" x14ac:dyDescent="0.25">
      <c r="A16" s="2" t="s">
        <v>446</v>
      </c>
      <c r="B16" s="2" t="s">
        <v>444</v>
      </c>
      <c r="C16" s="15">
        <v>1</v>
      </c>
      <c r="D16" s="2" t="s">
        <v>429</v>
      </c>
    </row>
    <row r="17" spans="1:4" x14ac:dyDescent="0.25">
      <c r="A17" s="2" t="s">
        <v>447</v>
      </c>
      <c r="B17" s="2" t="s">
        <v>444</v>
      </c>
      <c r="C17" s="15">
        <v>6</v>
      </c>
      <c r="D17" s="2" t="s">
        <v>429</v>
      </c>
    </row>
    <row r="18" spans="1:4" x14ac:dyDescent="0.25">
      <c r="A18" s="2" t="s">
        <v>448</v>
      </c>
      <c r="B18" s="2" t="s">
        <v>444</v>
      </c>
      <c r="C18" s="15">
        <v>16</v>
      </c>
      <c r="D18" s="2" t="s">
        <v>429</v>
      </c>
    </row>
    <row r="19" spans="1:4" x14ac:dyDescent="0.25">
      <c r="A19" s="2" t="s">
        <v>449</v>
      </c>
      <c r="B19" s="2" t="s">
        <v>444</v>
      </c>
      <c r="C19" s="15">
        <v>96</v>
      </c>
      <c r="D19" s="2" t="s">
        <v>429</v>
      </c>
    </row>
    <row r="20" spans="1:4" x14ac:dyDescent="0.25">
      <c r="A20" s="2" t="s">
        <v>450</v>
      </c>
      <c r="B20" s="2" t="s">
        <v>451</v>
      </c>
      <c r="C20" s="15">
        <v>50000</v>
      </c>
      <c r="D20" s="2" t="s">
        <v>429</v>
      </c>
    </row>
    <row r="21" spans="1:4" x14ac:dyDescent="0.25">
      <c r="A21" s="2" t="s">
        <v>452</v>
      </c>
      <c r="B21" s="2" t="s">
        <v>453</v>
      </c>
      <c r="C21" s="15">
        <v>749750</v>
      </c>
      <c r="D21" s="2" t="s">
        <v>429</v>
      </c>
    </row>
    <row r="22" spans="1:4" x14ac:dyDescent="0.25">
      <c r="A22" s="2" t="s">
        <v>454</v>
      </c>
      <c r="B22" s="2" t="s">
        <v>453</v>
      </c>
      <c r="C22" s="15">
        <v>300000</v>
      </c>
      <c r="D22" s="2" t="s">
        <v>429</v>
      </c>
    </row>
    <row r="23" spans="1:4" x14ac:dyDescent="0.25">
      <c r="A23" s="2" t="s">
        <v>455</v>
      </c>
      <c r="B23" s="2" t="s">
        <v>453</v>
      </c>
      <c r="C23" s="15">
        <v>100000</v>
      </c>
      <c r="D23" s="2" t="s">
        <v>429</v>
      </c>
    </row>
    <row r="24" spans="1:4" x14ac:dyDescent="0.25">
      <c r="A24" s="2" t="s">
        <v>456</v>
      </c>
      <c r="B24" s="2" t="s">
        <v>453</v>
      </c>
      <c r="C24" s="15">
        <v>99750</v>
      </c>
      <c r="D24" s="2" t="s">
        <v>429</v>
      </c>
    </row>
    <row r="25" spans="1:4" x14ac:dyDescent="0.25">
      <c r="A25" s="2" t="s">
        <v>457</v>
      </c>
      <c r="B25" s="2" t="s">
        <v>453</v>
      </c>
      <c r="C25" s="15">
        <v>100000</v>
      </c>
      <c r="D25" s="2" t="s">
        <v>429</v>
      </c>
    </row>
    <row r="26" spans="1:4" x14ac:dyDescent="0.25">
      <c r="A26" s="2" t="s">
        <v>458</v>
      </c>
      <c r="B26" s="2" t="s">
        <v>453</v>
      </c>
      <c r="C26" s="15">
        <v>150000</v>
      </c>
      <c r="D26" s="2" t="s">
        <v>429</v>
      </c>
    </row>
    <row r="27" spans="1:4" x14ac:dyDescent="0.25">
      <c r="A27" s="2" t="s">
        <v>459</v>
      </c>
      <c r="B27" s="2" t="s">
        <v>453</v>
      </c>
      <c r="C27" s="16">
        <v>104962.66666666667</v>
      </c>
      <c r="D27" s="2" t="s">
        <v>429</v>
      </c>
    </row>
    <row r="28" spans="1:4" x14ac:dyDescent="0.25">
      <c r="A28" s="2" t="s">
        <v>460</v>
      </c>
      <c r="B28" s="2" t="s">
        <v>453</v>
      </c>
      <c r="C28" s="15">
        <v>266</v>
      </c>
      <c r="D28" s="2" t="s">
        <v>429</v>
      </c>
    </row>
    <row r="29" spans="1:4" x14ac:dyDescent="0.25">
      <c r="A29" s="2" t="s">
        <v>461</v>
      </c>
      <c r="B29" s="2" t="s">
        <v>453</v>
      </c>
      <c r="C29" s="15">
        <v>399</v>
      </c>
      <c r="D29" s="2" t="s">
        <v>429</v>
      </c>
    </row>
    <row r="30" spans="1:4" x14ac:dyDescent="0.25">
      <c r="A30" s="2" t="s">
        <v>462</v>
      </c>
      <c r="B30" s="2" t="s">
        <v>453</v>
      </c>
      <c r="C30" s="15">
        <v>134</v>
      </c>
      <c r="D30" s="2" t="s">
        <v>429</v>
      </c>
    </row>
    <row r="31" spans="1:4" x14ac:dyDescent="0.25">
      <c r="A31" s="2" t="s">
        <v>463</v>
      </c>
      <c r="B31" s="2" t="s">
        <v>453</v>
      </c>
      <c r="C31" s="15">
        <v>1</v>
      </c>
      <c r="D31" s="2" t="s">
        <v>429</v>
      </c>
    </row>
    <row r="32" spans="1:4" x14ac:dyDescent="0.25">
      <c r="A32" s="2" t="s">
        <v>464</v>
      </c>
      <c r="B32" s="2" t="s">
        <v>453</v>
      </c>
      <c r="C32" s="15">
        <v>400</v>
      </c>
      <c r="D32" s="2" t="s">
        <v>429</v>
      </c>
    </row>
    <row r="33" spans="1:4" x14ac:dyDescent="0.25">
      <c r="A33" s="2" t="s">
        <v>465</v>
      </c>
      <c r="B33" s="2" t="s">
        <v>453</v>
      </c>
      <c r="C33" s="15">
        <v>100</v>
      </c>
      <c r="D33" s="2" t="s">
        <v>429</v>
      </c>
    </row>
    <row r="34" spans="1:4" x14ac:dyDescent="0.25">
      <c r="A34" s="2" t="s">
        <v>466</v>
      </c>
      <c r="B34" s="2" t="s">
        <v>453</v>
      </c>
      <c r="C34" s="16">
        <v>262.4066666666667</v>
      </c>
      <c r="D34" s="2" t="s">
        <v>429</v>
      </c>
    </row>
    <row r="35" spans="1:4" x14ac:dyDescent="0.25">
      <c r="A35" s="2" t="s">
        <v>467</v>
      </c>
      <c r="B35" s="2" t="s">
        <v>453</v>
      </c>
      <c r="C35" s="15">
        <v>750</v>
      </c>
      <c r="D35" s="2" t="s">
        <v>429</v>
      </c>
    </row>
    <row r="36" spans="1:4" x14ac:dyDescent="0.25">
      <c r="A36" s="2" t="s">
        <v>468</v>
      </c>
      <c r="B36" s="2" t="s">
        <v>453</v>
      </c>
      <c r="C36" s="16">
        <v>93.5</v>
      </c>
      <c r="D36" s="2" t="s">
        <v>429</v>
      </c>
    </row>
    <row r="37" spans="1:4" x14ac:dyDescent="0.25">
      <c r="A37" s="2" t="s">
        <v>469</v>
      </c>
      <c r="B37" s="2" t="s">
        <v>453</v>
      </c>
      <c r="C37" s="16">
        <v>287.5933333333333</v>
      </c>
      <c r="D37" s="2" t="s">
        <v>429</v>
      </c>
    </row>
    <row r="38" spans="1:4" x14ac:dyDescent="0.25">
      <c r="A38" s="2" t="s">
        <v>470</v>
      </c>
      <c r="B38" s="2" t="s">
        <v>453</v>
      </c>
      <c r="C38" s="15">
        <v>40000</v>
      </c>
      <c r="D38" s="2" t="s">
        <v>429</v>
      </c>
    </row>
    <row r="39" spans="1:4" x14ac:dyDescent="0.25">
      <c r="A39" s="2" t="s">
        <v>471</v>
      </c>
      <c r="B39" s="2" t="s">
        <v>453</v>
      </c>
      <c r="C39" s="15">
        <v>4</v>
      </c>
      <c r="D39" s="2" t="s">
        <v>429</v>
      </c>
    </row>
    <row r="40" spans="1:4" x14ac:dyDescent="0.25">
      <c r="A40" s="2" t="s">
        <v>472</v>
      </c>
      <c r="B40" s="2" t="s">
        <v>453</v>
      </c>
      <c r="C40" s="15">
        <v>100</v>
      </c>
      <c r="D40" s="2" t="s">
        <v>429</v>
      </c>
    </row>
    <row r="41" spans="1:4" x14ac:dyDescent="0.25">
      <c r="A41" s="2" t="s">
        <v>473</v>
      </c>
      <c r="B41" s="2" t="s">
        <v>453</v>
      </c>
      <c r="C41" s="15">
        <v>400</v>
      </c>
      <c r="D41" s="2" t="s">
        <v>429</v>
      </c>
    </row>
    <row r="42" spans="1:4" x14ac:dyDescent="0.25">
      <c r="A42" s="2" t="s">
        <v>474</v>
      </c>
      <c r="B42" s="2" t="s">
        <v>453</v>
      </c>
      <c r="C42" s="15">
        <v>40000</v>
      </c>
      <c r="D42" s="2" t="s">
        <v>429</v>
      </c>
    </row>
    <row r="43" spans="1:4" x14ac:dyDescent="0.25">
      <c r="A43" s="2" t="s">
        <v>475</v>
      </c>
      <c r="B43" s="2" t="s">
        <v>453</v>
      </c>
      <c r="C43" s="16">
        <v>5.24</v>
      </c>
      <c r="D43" s="2" t="s">
        <v>429</v>
      </c>
    </row>
    <row r="44" spans="1:4" x14ac:dyDescent="0.25">
      <c r="A44" s="2" t="s">
        <v>476</v>
      </c>
      <c r="B44" s="2" t="s">
        <v>453</v>
      </c>
      <c r="C44" s="15">
        <v>6</v>
      </c>
      <c r="D44" s="2" t="s">
        <v>429</v>
      </c>
    </row>
    <row r="45" spans="1:4" x14ac:dyDescent="0.25">
      <c r="A45" s="2" t="s">
        <v>477</v>
      </c>
      <c r="B45" s="2" t="s">
        <v>453</v>
      </c>
      <c r="C45" s="16">
        <v>66.66666666666667</v>
      </c>
      <c r="D45" s="2" t="s">
        <v>429</v>
      </c>
    </row>
    <row r="46" spans="1:4" x14ac:dyDescent="0.25">
      <c r="A46" s="2" t="s">
        <v>478</v>
      </c>
      <c r="B46" s="2" t="s">
        <v>453</v>
      </c>
      <c r="C46" s="16">
        <v>736186.6666666667</v>
      </c>
      <c r="D46" s="2" t="s">
        <v>429</v>
      </c>
    </row>
    <row r="47" spans="1:4" x14ac:dyDescent="0.25">
      <c r="A47" s="2" t="s">
        <v>479</v>
      </c>
      <c r="B47" s="2" t="s">
        <v>453</v>
      </c>
      <c r="C47" s="16">
        <v>115037.33333333333</v>
      </c>
      <c r="D47" s="2" t="s">
        <v>429</v>
      </c>
    </row>
    <row r="48" spans="1:4" x14ac:dyDescent="0.25">
      <c r="A48" s="2" t="s">
        <v>480</v>
      </c>
      <c r="B48" s="2" t="s">
        <v>453</v>
      </c>
      <c r="C48" s="15">
        <v>331224</v>
      </c>
      <c r="D48" s="2" t="s">
        <v>429</v>
      </c>
    </row>
    <row r="49" spans="1:4" x14ac:dyDescent="0.25">
      <c r="A49" s="2" t="s">
        <v>481</v>
      </c>
      <c r="B49" s="2" t="s">
        <v>453</v>
      </c>
      <c r="C49" s="16">
        <v>136186.6666666667</v>
      </c>
      <c r="D49" s="2" t="s">
        <v>429</v>
      </c>
    </row>
    <row r="50" spans="1:4" x14ac:dyDescent="0.25">
      <c r="A50" s="2" t="s">
        <v>482</v>
      </c>
      <c r="B50" s="2" t="s">
        <v>453</v>
      </c>
      <c r="C50" s="15">
        <v>300000</v>
      </c>
      <c r="D50" s="2" t="s">
        <v>429</v>
      </c>
    </row>
    <row r="51" spans="1:4" x14ac:dyDescent="0.25">
      <c r="A51" s="2" t="s">
        <v>483</v>
      </c>
      <c r="B51" s="2" t="s">
        <v>453</v>
      </c>
      <c r="C51" s="15">
        <v>2</v>
      </c>
      <c r="D51" s="2" t="s">
        <v>429</v>
      </c>
    </row>
    <row r="52" spans="1:4" x14ac:dyDescent="0.25">
      <c r="A52" s="2" t="s">
        <v>484</v>
      </c>
      <c r="B52" s="2" t="s">
        <v>453</v>
      </c>
      <c r="C52" s="15">
        <v>150000</v>
      </c>
      <c r="D52" s="2" t="s">
        <v>429</v>
      </c>
    </row>
    <row r="53" spans="1:4" x14ac:dyDescent="0.25">
      <c r="A53" s="2" t="s">
        <v>485</v>
      </c>
      <c r="B53" s="2" t="s">
        <v>453</v>
      </c>
      <c r="C53" s="15">
        <v>142467</v>
      </c>
      <c r="D53" s="2" t="s">
        <v>429</v>
      </c>
    </row>
    <row r="54" spans="1:4" x14ac:dyDescent="0.25">
      <c r="A54" s="2" t="s">
        <v>486</v>
      </c>
      <c r="B54" s="2" t="s">
        <v>453</v>
      </c>
      <c r="C54" s="15">
        <v>95767</v>
      </c>
      <c r="D54" s="2" t="s">
        <v>429</v>
      </c>
    </row>
    <row r="55" spans="1:4" x14ac:dyDescent="0.25">
      <c r="A55" s="2" t="s">
        <v>487</v>
      </c>
      <c r="B55" s="2" t="s">
        <v>453</v>
      </c>
      <c r="C55" s="15">
        <v>55</v>
      </c>
      <c r="D55" s="2" t="s">
        <v>429</v>
      </c>
    </row>
    <row r="56" spans="1:4" x14ac:dyDescent="0.25">
      <c r="A56" s="2" t="s">
        <v>488</v>
      </c>
      <c r="B56" s="2" t="s">
        <v>453</v>
      </c>
      <c r="C56" s="15">
        <v>27</v>
      </c>
      <c r="D56" s="2" t="s">
        <v>429</v>
      </c>
    </row>
    <row r="57" spans="1:4" x14ac:dyDescent="0.25">
      <c r="A57" s="2" t="s">
        <v>489</v>
      </c>
      <c r="B57" s="2" t="s">
        <v>453</v>
      </c>
      <c r="C57" s="15">
        <v>15</v>
      </c>
      <c r="D57" s="2" t="s">
        <v>429</v>
      </c>
    </row>
    <row r="58" spans="1:4" x14ac:dyDescent="0.25">
      <c r="A58" s="2" t="s">
        <v>490</v>
      </c>
      <c r="B58" s="2" t="s">
        <v>453</v>
      </c>
      <c r="C58" s="15">
        <v>251224</v>
      </c>
      <c r="D58" s="2" t="s">
        <v>429</v>
      </c>
    </row>
    <row r="59" spans="1:4" x14ac:dyDescent="0.25">
      <c r="A59" s="2" t="s">
        <v>491</v>
      </c>
      <c r="B59" s="2" t="s">
        <v>453</v>
      </c>
      <c r="C59" s="15">
        <v>151200</v>
      </c>
      <c r="D59" s="2" t="s">
        <v>429</v>
      </c>
    </row>
    <row r="60" spans="1:4" x14ac:dyDescent="0.25">
      <c r="A60" s="2" t="s">
        <v>492</v>
      </c>
      <c r="B60" s="2" t="s">
        <v>453</v>
      </c>
      <c r="C60" s="15">
        <v>51000</v>
      </c>
      <c r="D60" s="2" t="s">
        <v>429</v>
      </c>
    </row>
    <row r="61" spans="1:4" x14ac:dyDescent="0.25">
      <c r="A61" s="2" t="s">
        <v>493</v>
      </c>
      <c r="B61" s="2" t="s">
        <v>453</v>
      </c>
      <c r="C61" s="15">
        <v>3674</v>
      </c>
      <c r="D61" s="2" t="s">
        <v>429</v>
      </c>
    </row>
    <row r="62" spans="1:4" x14ac:dyDescent="0.25">
      <c r="A62" s="2" t="s">
        <v>494</v>
      </c>
      <c r="B62" s="2" t="s">
        <v>453</v>
      </c>
      <c r="C62" s="15">
        <v>27000</v>
      </c>
      <c r="D62" s="2" t="s">
        <v>429</v>
      </c>
    </row>
    <row r="63" spans="1:4" x14ac:dyDescent="0.25">
      <c r="A63" s="2" t="s">
        <v>495</v>
      </c>
      <c r="B63" s="2" t="s">
        <v>453</v>
      </c>
      <c r="C63" s="15">
        <v>10000</v>
      </c>
      <c r="D63" s="2" t="s">
        <v>429</v>
      </c>
    </row>
    <row r="64" spans="1:4" x14ac:dyDescent="0.25">
      <c r="A64" s="2" t="s">
        <v>496</v>
      </c>
      <c r="B64" s="2" t="s">
        <v>453</v>
      </c>
      <c r="C64" s="15">
        <v>8350</v>
      </c>
      <c r="D64" s="2" t="s">
        <v>429</v>
      </c>
    </row>
    <row r="65" spans="1:4" x14ac:dyDescent="0.25">
      <c r="A65" s="2" t="s">
        <v>497</v>
      </c>
      <c r="B65" s="2" t="s">
        <v>453</v>
      </c>
      <c r="C65" s="15">
        <v>0</v>
      </c>
      <c r="D65" s="2" t="s">
        <v>429</v>
      </c>
    </row>
    <row r="66" spans="1:4" x14ac:dyDescent="0.25">
      <c r="A66" s="2" t="s">
        <v>498</v>
      </c>
      <c r="B66" s="2" t="s">
        <v>453</v>
      </c>
      <c r="C66" s="15">
        <v>0</v>
      </c>
      <c r="D66" s="2" t="s">
        <v>429</v>
      </c>
    </row>
    <row r="67" spans="1:4" x14ac:dyDescent="0.25">
      <c r="A67" s="2" t="s">
        <v>499</v>
      </c>
      <c r="B67" s="2" t="s">
        <v>500</v>
      </c>
      <c r="C67" s="15">
        <v>874</v>
      </c>
      <c r="D67" s="2" t="s">
        <v>429</v>
      </c>
    </row>
    <row r="68" spans="1:4" x14ac:dyDescent="0.25">
      <c r="A68" s="2" t="s">
        <v>501</v>
      </c>
      <c r="B68" s="2" t="s">
        <v>500</v>
      </c>
      <c r="C68" s="15">
        <v>10000</v>
      </c>
      <c r="D68" s="2" t="s">
        <v>429</v>
      </c>
    </row>
    <row r="69" spans="1:4" x14ac:dyDescent="0.25">
      <c r="A69" s="2" t="s">
        <v>502</v>
      </c>
      <c r="B69" s="2" t="s">
        <v>500</v>
      </c>
      <c r="C69" s="15">
        <v>300000</v>
      </c>
      <c r="D69" s="2" t="s">
        <v>429</v>
      </c>
    </row>
    <row r="70" spans="1:4" x14ac:dyDescent="0.25">
      <c r="A70" s="2" t="s">
        <v>503</v>
      </c>
      <c r="B70" s="2" t="s">
        <v>500</v>
      </c>
      <c r="C70" s="15">
        <v>46</v>
      </c>
      <c r="D70" s="2" t="s">
        <v>429</v>
      </c>
    </row>
    <row r="71" spans="1:4" x14ac:dyDescent="0.25">
      <c r="A71" s="2" t="s">
        <v>504</v>
      </c>
      <c r="B71" s="2" t="s">
        <v>500</v>
      </c>
      <c r="C71" s="15">
        <v>100</v>
      </c>
      <c r="D71" s="2" t="s">
        <v>429</v>
      </c>
    </row>
    <row r="72" spans="1:4" x14ac:dyDescent="0.25">
      <c r="A72" s="2" t="s">
        <v>505</v>
      </c>
      <c r="B72" s="2" t="s">
        <v>500</v>
      </c>
      <c r="C72" s="15">
        <v>103</v>
      </c>
      <c r="D72" s="2" t="s">
        <v>429</v>
      </c>
    </row>
    <row r="73" spans="1:4" x14ac:dyDescent="0.25">
      <c r="A73" s="2" t="s">
        <v>506</v>
      </c>
      <c r="B73" s="2" t="s">
        <v>500</v>
      </c>
      <c r="C73" s="15">
        <v>1152</v>
      </c>
      <c r="D73" s="2" t="s">
        <v>429</v>
      </c>
    </row>
    <row r="74" spans="1:4" x14ac:dyDescent="0.25">
      <c r="A74" s="2" t="s">
        <v>507</v>
      </c>
      <c r="B74" s="2" t="s">
        <v>500</v>
      </c>
      <c r="C74" s="15">
        <v>400</v>
      </c>
      <c r="D74" s="2" t="s">
        <v>429</v>
      </c>
    </row>
    <row r="75" spans="1:4" x14ac:dyDescent="0.25">
      <c r="A75" s="2" t="s">
        <v>508</v>
      </c>
      <c r="B75" s="2" t="s">
        <v>500</v>
      </c>
      <c r="C75" s="15">
        <v>1152</v>
      </c>
      <c r="D75" s="2" t="s">
        <v>429</v>
      </c>
    </row>
    <row r="76" spans="1:4" x14ac:dyDescent="0.25">
      <c r="A76" s="2" t="s">
        <v>509</v>
      </c>
      <c r="B76" s="2" t="s">
        <v>500</v>
      </c>
      <c r="C76" s="15">
        <v>100000</v>
      </c>
      <c r="D76" s="2" t="s">
        <v>429</v>
      </c>
    </row>
    <row r="77" spans="1:4" x14ac:dyDescent="0.25">
      <c r="A77" s="2" t="s">
        <v>510</v>
      </c>
      <c r="B77" s="2" t="s">
        <v>500</v>
      </c>
      <c r="C77" s="15">
        <v>0</v>
      </c>
      <c r="D77" s="2" t="s">
        <v>429</v>
      </c>
    </row>
    <row r="78" spans="1:4" x14ac:dyDescent="0.25">
      <c r="A78" s="2" t="s">
        <v>511</v>
      </c>
      <c r="B78" s="2" t="s">
        <v>500</v>
      </c>
      <c r="C78" s="15">
        <v>251224</v>
      </c>
      <c r="D78" s="2" t="s">
        <v>429</v>
      </c>
    </row>
    <row r="79" spans="1:4" x14ac:dyDescent="0.25">
      <c r="A79" s="2" t="s">
        <v>512</v>
      </c>
      <c r="B79" s="2" t="s">
        <v>500</v>
      </c>
      <c r="C79" s="15">
        <v>874</v>
      </c>
      <c r="D79" s="2" t="s">
        <v>429</v>
      </c>
    </row>
    <row r="80" spans="1:4" x14ac:dyDescent="0.25">
      <c r="A80" s="2" t="s">
        <v>513</v>
      </c>
      <c r="B80" s="2" t="s">
        <v>500</v>
      </c>
      <c r="C80" s="15">
        <v>1552</v>
      </c>
      <c r="D80" s="2" t="s">
        <v>429</v>
      </c>
    </row>
    <row r="81" spans="1:4" x14ac:dyDescent="0.25">
      <c r="A81" s="2" t="s">
        <v>514</v>
      </c>
      <c r="B81" s="2" t="s">
        <v>500</v>
      </c>
      <c r="C81" s="15">
        <v>100000</v>
      </c>
      <c r="D81" s="2" t="s">
        <v>429</v>
      </c>
    </row>
    <row r="82" spans="1:4" x14ac:dyDescent="0.25">
      <c r="A82" s="2" t="s">
        <v>515</v>
      </c>
      <c r="B82" s="2" t="s">
        <v>500</v>
      </c>
      <c r="C82" s="15">
        <v>2</v>
      </c>
      <c r="D82" s="2" t="s">
        <v>429</v>
      </c>
    </row>
    <row r="83" spans="1:4" x14ac:dyDescent="0.25">
      <c r="A83" s="2" t="s">
        <v>516</v>
      </c>
      <c r="B83" s="2" t="s">
        <v>500</v>
      </c>
      <c r="C83" s="15">
        <v>251224</v>
      </c>
      <c r="D83" s="2" t="s">
        <v>429</v>
      </c>
    </row>
    <row r="84" spans="1:4" x14ac:dyDescent="0.25">
      <c r="A84" s="2" t="s">
        <v>517</v>
      </c>
      <c r="B84" s="2" t="s">
        <v>500</v>
      </c>
      <c r="C84" s="15">
        <v>900</v>
      </c>
      <c r="D84" s="2" t="s">
        <v>429</v>
      </c>
    </row>
    <row r="85" spans="1:4" x14ac:dyDescent="0.25">
      <c r="A85" s="2" t="s">
        <v>518</v>
      </c>
      <c r="B85" s="2" t="s">
        <v>500</v>
      </c>
      <c r="C85" s="15">
        <v>2792</v>
      </c>
      <c r="D85" s="2" t="s">
        <v>429</v>
      </c>
    </row>
    <row r="86" spans="1:4" x14ac:dyDescent="0.25">
      <c r="A86" s="2" t="s">
        <v>519</v>
      </c>
      <c r="B86" s="2" t="s">
        <v>500</v>
      </c>
      <c r="C86" s="15">
        <v>100000</v>
      </c>
      <c r="D86" s="2" t="s">
        <v>429</v>
      </c>
    </row>
    <row r="87" spans="1:4" x14ac:dyDescent="0.25">
      <c r="A87" s="2" t="s">
        <v>520</v>
      </c>
      <c r="B87" s="2" t="s">
        <v>500</v>
      </c>
      <c r="C87" s="15">
        <v>3</v>
      </c>
      <c r="D87" s="2" t="s">
        <v>429</v>
      </c>
    </row>
    <row r="88" spans="1:4" x14ac:dyDescent="0.25">
      <c r="A88" s="2" t="s">
        <v>521</v>
      </c>
      <c r="B88" s="2" t="s">
        <v>500</v>
      </c>
      <c r="C88" s="15">
        <v>251224</v>
      </c>
      <c r="D88" s="2" t="s">
        <v>429</v>
      </c>
    </row>
    <row r="89" spans="1:4" x14ac:dyDescent="0.25">
      <c r="A89" s="2" t="s">
        <v>522</v>
      </c>
      <c r="B89" s="2" t="s">
        <v>500</v>
      </c>
      <c r="C89" s="16">
        <v>-36186.666666666686</v>
      </c>
      <c r="D89" s="2" t="s">
        <v>429</v>
      </c>
    </row>
    <row r="90" spans="1:4" x14ac:dyDescent="0.25">
      <c r="A90" s="2" t="s">
        <v>523</v>
      </c>
      <c r="B90" s="2" t="s">
        <v>500</v>
      </c>
      <c r="C90" s="16">
        <v>100132.5733333333</v>
      </c>
      <c r="D90" s="2" t="s">
        <v>429</v>
      </c>
    </row>
    <row r="91" spans="1:4" x14ac:dyDescent="0.25">
      <c r="A91" s="2" t="s">
        <v>524</v>
      </c>
      <c r="B91" s="2" t="s">
        <v>500</v>
      </c>
      <c r="C91" s="15">
        <v>107610</v>
      </c>
      <c r="D91" s="2" t="s">
        <v>429</v>
      </c>
    </row>
    <row r="92" spans="1:4" x14ac:dyDescent="0.25">
      <c r="A92" s="2" t="s">
        <v>525</v>
      </c>
      <c r="B92" s="2" t="s">
        <v>500</v>
      </c>
      <c r="C92" s="16">
        <v>115037.33333333333</v>
      </c>
      <c r="D92" s="2" t="s">
        <v>429</v>
      </c>
    </row>
    <row r="93" spans="1:4" x14ac:dyDescent="0.25">
      <c r="A93" s="2" t="s">
        <v>526</v>
      </c>
      <c r="B93" s="2" t="s">
        <v>500</v>
      </c>
      <c r="C93" s="16">
        <v>251356.5733333333</v>
      </c>
      <c r="D93" s="2" t="s">
        <v>429</v>
      </c>
    </row>
    <row r="94" spans="1:4" x14ac:dyDescent="0.25">
      <c r="A94" s="2" t="s">
        <v>527</v>
      </c>
      <c r="B94" s="2" t="s">
        <v>500</v>
      </c>
      <c r="C94" s="16">
        <v>258833.99999999997</v>
      </c>
      <c r="D94" s="2" t="s">
        <v>429</v>
      </c>
    </row>
    <row r="95" spans="1:4" x14ac:dyDescent="0.25">
      <c r="A95" s="2" t="s">
        <v>528</v>
      </c>
      <c r="B95" s="2" t="s">
        <v>500</v>
      </c>
      <c r="C95" s="16">
        <v>136186.6666666667</v>
      </c>
      <c r="D95" s="2" t="s">
        <v>429</v>
      </c>
    </row>
    <row r="96" spans="1:4" x14ac:dyDescent="0.25">
      <c r="A96" s="2" t="s">
        <v>529</v>
      </c>
      <c r="B96" s="2" t="s">
        <v>500</v>
      </c>
      <c r="C96" s="16">
        <v>-132.57333333330462</v>
      </c>
      <c r="D96" s="2" t="s">
        <v>429</v>
      </c>
    </row>
    <row r="97" spans="1:4" x14ac:dyDescent="0.25">
      <c r="A97" s="2" t="s">
        <v>530</v>
      </c>
      <c r="B97" s="2" t="s">
        <v>500</v>
      </c>
      <c r="C97" s="16">
        <v>-7609.999999999971</v>
      </c>
      <c r="D97" s="2" t="s">
        <v>429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Inputs</vt:lpstr>
      <vt:lpstr>One bed</vt:lpstr>
      <vt:lpstr>The year</vt:lpstr>
      <vt:lpstr>Monthly cash FY27</vt:lpstr>
      <vt:lpstr>Three years</vt:lpstr>
      <vt:lpstr>Yield improvements</vt:lpstr>
      <vt:lpstr>Sources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Goods on Country</dc:creator>
  <dc:title/>
  <dc:subject/>
  <dc:description/>
  <cp:keywords/>
  <cp:category/>
  <cp:lastModifiedBy>Unknown</cp:lastModifiedBy>
  <dcterms:created xsi:type="dcterms:W3CDTF">2026-09-15T00:00:00Z</dcterms:created>
  <dcterms:modified xsi:type="dcterms:W3CDTF">2026-09-15T00:29:22Z</dcterms:modified>
</cp:coreProperties>
</file>